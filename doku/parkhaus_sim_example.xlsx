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my\Documents\DHBW\Programmieren\"/>
    </mc:Choice>
  </mc:AlternateContent>
  <xr:revisionPtr revIDLastSave="0" documentId="13_ncr:1_{BAAE05CE-1424-4A74-ADD2-7225412F325C}" xr6:coauthVersionLast="47" xr6:coauthVersionMax="47" xr10:uidLastSave="{00000000-0000-0000-0000-000000000000}"/>
  <bookViews>
    <workbookView xWindow="-98" yWindow="-98" windowWidth="21795" windowHeight="12975" xr2:uid="{43DD439C-BD97-4982-817A-C55C7E5F8CF0}"/>
  </bookViews>
  <sheets>
    <sheet name="parkhaus_sim_log" sheetId="2" r:id="rId1"/>
  </sheets>
  <definedNames>
    <definedName name="ExterneDaten_1" localSheetId="0" hidden="1">parkhaus_sim_log!$A$1:$F$201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" i="2" l="1"/>
  <c r="D133" i="2"/>
  <c r="D195" i="2"/>
  <c r="C117" i="2"/>
  <c r="A6" i="2"/>
  <c r="C34" i="2"/>
  <c r="D146" i="2"/>
  <c r="C145" i="2"/>
  <c r="D109" i="2"/>
  <c r="D182" i="2"/>
  <c r="A57" i="2"/>
  <c r="D48" i="2"/>
  <c r="A91" i="2"/>
  <c r="D66" i="2"/>
  <c r="C179" i="2"/>
  <c r="A2" i="2"/>
  <c r="A100" i="2"/>
  <c r="D86" i="2"/>
  <c r="A129" i="2"/>
  <c r="A141" i="2"/>
  <c r="C65" i="2"/>
  <c r="D91" i="2"/>
  <c r="A158" i="2"/>
  <c r="D178" i="2"/>
  <c r="A66" i="2"/>
  <c r="C45" i="2"/>
  <c r="A165" i="2"/>
  <c r="D21" i="2"/>
  <c r="A125" i="2"/>
  <c r="C85" i="2"/>
  <c r="C154" i="2"/>
  <c r="D192" i="2"/>
  <c r="D176" i="2"/>
  <c r="C16" i="2"/>
  <c r="C66" i="2"/>
  <c r="C27" i="2"/>
  <c r="D127" i="2"/>
  <c r="C116" i="2"/>
  <c r="C108" i="2"/>
  <c r="A116" i="2"/>
  <c r="C201" i="2"/>
  <c r="D46" i="2"/>
  <c r="C96" i="2"/>
  <c r="A54" i="2"/>
  <c r="D70" i="2"/>
  <c r="C74" i="2"/>
  <c r="D60" i="2"/>
  <c r="D145" i="2"/>
  <c r="D92" i="2"/>
  <c r="A124" i="2"/>
  <c r="A23" i="2"/>
  <c r="C137" i="2"/>
  <c r="A188" i="2"/>
  <c r="C171" i="2"/>
  <c r="C139" i="2"/>
  <c r="A19" i="2"/>
  <c r="C200" i="2"/>
  <c r="A93" i="2"/>
  <c r="D8" i="2"/>
  <c r="D156" i="2"/>
  <c r="A16" i="2"/>
  <c r="C125" i="2"/>
  <c r="D87" i="2"/>
  <c r="A47" i="2"/>
  <c r="D171" i="2"/>
  <c r="C165" i="2"/>
  <c r="A198" i="2"/>
  <c r="D64" i="2"/>
  <c r="C48" i="2"/>
  <c r="C31" i="2"/>
  <c r="D173" i="2"/>
  <c r="D94" i="2"/>
  <c r="D5" i="2"/>
  <c r="C110" i="2"/>
  <c r="D52" i="2"/>
  <c r="D53" i="2"/>
  <c r="C113" i="2"/>
  <c r="A58" i="2"/>
  <c r="A107" i="2"/>
  <c r="C141" i="2"/>
  <c r="A172" i="2"/>
  <c r="A56" i="2"/>
  <c r="A176" i="2"/>
  <c r="D81" i="2"/>
  <c r="C178" i="2"/>
  <c r="C9" i="2"/>
  <c r="A39" i="2"/>
  <c r="D172" i="2"/>
  <c r="D200" i="2"/>
  <c r="A89" i="2"/>
  <c r="A17" i="2"/>
  <c r="C199" i="2"/>
  <c r="D25" i="2"/>
  <c r="A25" i="2"/>
  <c r="C15" i="2"/>
  <c r="D101" i="2"/>
  <c r="A139" i="2"/>
  <c r="C187" i="2"/>
  <c r="C94" i="2"/>
  <c r="A157" i="2"/>
  <c r="A122" i="2"/>
  <c r="A168" i="2"/>
  <c r="A130" i="2"/>
  <c r="D15" i="2"/>
  <c r="C3" i="2"/>
  <c r="D82" i="2"/>
  <c r="A110" i="2"/>
  <c r="D23" i="2"/>
  <c r="D71" i="2"/>
  <c r="C132" i="2"/>
  <c r="A134" i="2"/>
  <c r="D98" i="2"/>
  <c r="A87" i="2"/>
  <c r="D149" i="2"/>
  <c r="A9" i="2"/>
  <c r="A182" i="2"/>
  <c r="D76" i="2"/>
  <c r="D32" i="2"/>
  <c r="C54" i="2"/>
  <c r="D12" i="2"/>
  <c r="C111" i="2"/>
  <c r="A138" i="2"/>
  <c r="D163" i="2"/>
  <c r="D188" i="2"/>
  <c r="D130" i="2"/>
  <c r="C103" i="2"/>
  <c r="C88" i="2"/>
  <c r="A71" i="2"/>
  <c r="D126" i="2"/>
  <c r="C164" i="2"/>
  <c r="C17" i="2"/>
  <c r="A77" i="2"/>
  <c r="D6" i="2"/>
  <c r="D184" i="2"/>
  <c r="C168" i="2"/>
  <c r="A88" i="2"/>
  <c r="A106" i="2"/>
  <c r="C24" i="2"/>
  <c r="A183" i="2"/>
  <c r="D183" i="2"/>
  <c r="D22" i="2"/>
  <c r="D4" i="2"/>
  <c r="A81" i="2"/>
  <c r="C174" i="2"/>
  <c r="A5" i="2"/>
  <c r="D100" i="2"/>
  <c r="D111" i="2"/>
  <c r="A37" i="2"/>
  <c r="C68" i="2"/>
  <c r="C33" i="2"/>
  <c r="C46" i="2"/>
  <c r="D90" i="2"/>
  <c r="D128" i="2"/>
  <c r="C130" i="2"/>
  <c r="C193" i="2"/>
  <c r="D97" i="2"/>
  <c r="D147" i="2"/>
  <c r="A101" i="2"/>
  <c r="C122" i="2"/>
  <c r="D114" i="2"/>
  <c r="C123" i="2"/>
  <c r="A99" i="2"/>
  <c r="A170" i="2"/>
  <c r="A163" i="2"/>
  <c r="D121" i="2"/>
  <c r="D17" i="2"/>
  <c r="A166" i="2"/>
  <c r="C191" i="2"/>
  <c r="A154" i="2"/>
  <c r="A185" i="2"/>
  <c r="C175" i="2"/>
  <c r="C20" i="2"/>
  <c r="C89" i="2"/>
  <c r="C195" i="2"/>
  <c r="D135" i="2"/>
  <c r="C50" i="2"/>
  <c r="D10" i="2"/>
  <c r="C163" i="2"/>
  <c r="D7" i="2"/>
  <c r="C41" i="2"/>
  <c r="D39" i="2"/>
  <c r="D180" i="2"/>
  <c r="D175" i="2"/>
  <c r="D107" i="2"/>
  <c r="C181" i="2"/>
  <c r="A40" i="2"/>
  <c r="D9" i="2"/>
  <c r="A79" i="2"/>
  <c r="C196" i="2"/>
  <c r="C133" i="2"/>
  <c r="D134" i="2"/>
  <c r="A104" i="2"/>
  <c r="A145" i="2"/>
  <c r="D187" i="2"/>
  <c r="D167" i="2"/>
  <c r="D18" i="2"/>
  <c r="A51" i="2"/>
  <c r="D152" i="2"/>
  <c r="C70" i="2"/>
  <c r="D190" i="2"/>
  <c r="D132" i="2"/>
  <c r="A72" i="2"/>
  <c r="A50" i="2"/>
  <c r="C105" i="2"/>
  <c r="A137" i="2"/>
  <c r="A15" i="2"/>
  <c r="A136" i="2"/>
  <c r="A73" i="2"/>
  <c r="D36" i="2"/>
  <c r="C162" i="2"/>
  <c r="C128" i="2"/>
  <c r="A150" i="2"/>
  <c r="A24" i="2"/>
  <c r="C63" i="2"/>
  <c r="C95" i="2"/>
  <c r="A78" i="2"/>
  <c r="A115" i="2"/>
  <c r="A187" i="2"/>
  <c r="D129" i="2"/>
  <c r="C10" i="2"/>
  <c r="C49" i="2"/>
  <c r="A29" i="2"/>
  <c r="A175" i="2"/>
  <c r="D193" i="2"/>
  <c r="A160" i="2"/>
  <c r="D88" i="2"/>
  <c r="A131" i="2"/>
  <c r="C35" i="2"/>
  <c r="C6" i="2"/>
  <c r="C119" i="2"/>
  <c r="C47" i="2"/>
  <c r="A193" i="2"/>
  <c r="C183" i="2"/>
  <c r="C156" i="2"/>
  <c r="C190" i="2"/>
  <c r="A95" i="2"/>
  <c r="C36" i="2"/>
  <c r="C80" i="2"/>
  <c r="A86" i="2"/>
  <c r="A53" i="2"/>
  <c r="A167" i="2"/>
  <c r="D20" i="2"/>
  <c r="D27" i="2"/>
  <c r="C64" i="2"/>
  <c r="A45" i="2"/>
  <c r="A189" i="2"/>
  <c r="D198" i="2"/>
  <c r="D83" i="2"/>
  <c r="D199" i="2"/>
  <c r="D78" i="2"/>
  <c r="A18" i="2"/>
  <c r="D67" i="2"/>
  <c r="A75" i="2"/>
  <c r="A200" i="2"/>
  <c r="C129" i="2"/>
  <c r="C153" i="2"/>
  <c r="A191" i="2"/>
  <c r="D160" i="2"/>
  <c r="A142" i="2"/>
  <c r="A117" i="2"/>
  <c r="A30" i="2"/>
  <c r="A180" i="2"/>
  <c r="C166" i="2"/>
  <c r="C147" i="2"/>
  <c r="C157" i="2"/>
  <c r="D143" i="2"/>
  <c r="D54" i="2"/>
  <c r="D73" i="2"/>
  <c r="C135" i="2"/>
  <c r="A119" i="2"/>
  <c r="C107" i="2"/>
  <c r="A34" i="2"/>
  <c r="D191" i="2"/>
  <c r="A61" i="2"/>
  <c r="C142" i="2"/>
  <c r="C177" i="2"/>
  <c r="C62" i="2"/>
  <c r="D142" i="2"/>
  <c r="C43" i="2"/>
  <c r="A64" i="2"/>
  <c r="C189" i="2"/>
  <c r="A177" i="2"/>
  <c r="C84" i="2"/>
  <c r="D136" i="2"/>
  <c r="D47" i="2"/>
  <c r="C186" i="2"/>
  <c r="C28" i="2"/>
  <c r="C138" i="2"/>
  <c r="D57" i="2"/>
  <c r="A123" i="2"/>
  <c r="D28" i="2"/>
  <c r="C126" i="2"/>
  <c r="A171" i="2"/>
  <c r="D155" i="2"/>
  <c r="D95" i="2"/>
  <c r="D19" i="2"/>
  <c r="D153" i="2"/>
  <c r="C37" i="2"/>
  <c r="C8" i="2"/>
  <c r="C11" i="2"/>
  <c r="A184" i="2"/>
  <c r="C71" i="2"/>
  <c r="D117" i="2"/>
  <c r="C194" i="2"/>
  <c r="C75" i="2"/>
  <c r="C51" i="2"/>
  <c r="C176" i="2"/>
  <c r="A118" i="2"/>
  <c r="C60" i="2"/>
  <c r="C173" i="2"/>
  <c r="D154" i="2"/>
  <c r="C83" i="2"/>
  <c r="C120" i="2"/>
  <c r="D41" i="2"/>
  <c r="A103" i="2"/>
  <c r="D74" i="2"/>
  <c r="D24" i="2"/>
  <c r="C134" i="2"/>
  <c r="A90" i="2"/>
  <c r="A113" i="2"/>
  <c r="A109" i="2"/>
  <c r="D140" i="2"/>
  <c r="D118" i="2"/>
  <c r="D31" i="2"/>
  <c r="D151" i="2"/>
  <c r="D79" i="2"/>
  <c r="C101" i="2"/>
  <c r="A43" i="2"/>
  <c r="A83" i="2"/>
  <c r="C78" i="2"/>
  <c r="D61" i="2"/>
  <c r="A68" i="2"/>
  <c r="C91" i="2"/>
  <c r="A194" i="2"/>
  <c r="C58" i="2"/>
  <c r="C7" i="2"/>
  <c r="D105" i="2"/>
  <c r="D166" i="2"/>
  <c r="D186" i="2"/>
  <c r="C192" i="2"/>
  <c r="D30" i="2"/>
  <c r="C127" i="2"/>
  <c r="D85" i="2"/>
  <c r="A20" i="2"/>
  <c r="A7" i="2"/>
  <c r="D196" i="2"/>
  <c r="A38" i="2"/>
  <c r="C112" i="2"/>
  <c r="C124" i="2"/>
  <c r="A195" i="2"/>
  <c r="A132" i="2"/>
  <c r="C115" i="2"/>
  <c r="C104" i="2"/>
  <c r="C26" i="2"/>
  <c r="A190" i="2"/>
  <c r="D77" i="2"/>
  <c r="D139" i="2"/>
  <c r="D49" i="2"/>
  <c r="A49" i="2"/>
  <c r="D112" i="2"/>
  <c r="C185" i="2"/>
  <c r="D69" i="2"/>
  <c r="A149" i="2"/>
  <c r="A108" i="2"/>
  <c r="A59" i="2"/>
  <c r="A102" i="2"/>
  <c r="C93" i="2"/>
  <c r="C53" i="2"/>
  <c r="C100" i="2"/>
  <c r="C61" i="2"/>
  <c r="C152" i="2"/>
  <c r="A63" i="2"/>
  <c r="C99" i="2"/>
  <c r="C86" i="2"/>
  <c r="D159" i="2"/>
  <c r="C170" i="2"/>
  <c r="A201" i="2"/>
  <c r="C21" i="2"/>
  <c r="A127" i="2"/>
  <c r="A28" i="2"/>
  <c r="D34" i="2"/>
  <c r="A94" i="2"/>
  <c r="D68" i="2"/>
  <c r="A121" i="2"/>
  <c r="C149" i="2"/>
  <c r="D35" i="2"/>
  <c r="C23" i="2"/>
  <c r="D181" i="2"/>
  <c r="C4" i="2"/>
  <c r="D44" i="2"/>
  <c r="C52" i="2"/>
  <c r="C19" i="2"/>
  <c r="D37" i="2"/>
  <c r="A52" i="2"/>
  <c r="D158" i="2"/>
  <c r="A148" i="2"/>
  <c r="A146" i="2"/>
  <c r="C148" i="2"/>
  <c r="A126" i="2"/>
  <c r="A92" i="2"/>
  <c r="A155" i="2"/>
  <c r="C114" i="2"/>
  <c r="D141" i="2"/>
  <c r="C161" i="2"/>
  <c r="A3" i="2"/>
  <c r="D96" i="2"/>
  <c r="D185" i="2"/>
  <c r="C14" i="2"/>
  <c r="D62" i="2"/>
  <c r="C2" i="2"/>
  <c r="A85" i="2"/>
  <c r="D137" i="2"/>
  <c r="A65" i="2"/>
  <c r="A33" i="2"/>
  <c r="C59" i="2"/>
  <c r="A186" i="2"/>
  <c r="D122" i="2"/>
  <c r="A153" i="2"/>
  <c r="D42" i="2"/>
  <c r="A76" i="2"/>
  <c r="D125" i="2"/>
  <c r="D51" i="2"/>
  <c r="C12" i="2"/>
  <c r="A128" i="2"/>
  <c r="A14" i="2"/>
  <c r="C180" i="2"/>
  <c r="D75" i="2"/>
  <c r="A135" i="2"/>
  <c r="D50" i="2"/>
  <c r="A8" i="2"/>
  <c r="A48" i="2"/>
  <c r="D157" i="2"/>
  <c r="A156" i="2"/>
  <c r="D169" i="2"/>
  <c r="C56" i="2"/>
  <c r="A98" i="2"/>
  <c r="A159" i="2"/>
  <c r="C32" i="2"/>
  <c r="C102" i="2"/>
  <c r="A11" i="2"/>
  <c r="C155" i="2"/>
  <c r="A80" i="2"/>
  <c r="A162" i="2"/>
  <c r="C73" i="2"/>
  <c r="D108" i="2"/>
  <c r="A74" i="2"/>
  <c r="A173" i="2"/>
  <c r="D93" i="2"/>
  <c r="D89" i="2"/>
  <c r="C57" i="2"/>
  <c r="D14" i="2"/>
  <c r="D119" i="2"/>
  <c r="A44" i="2"/>
  <c r="C131" i="2"/>
  <c r="C140" i="2"/>
  <c r="D164" i="2"/>
  <c r="A143" i="2"/>
  <c r="C76" i="2"/>
  <c r="D55" i="2"/>
  <c r="C90" i="2"/>
  <c r="A32" i="2"/>
  <c r="A42" i="2"/>
  <c r="A62" i="2"/>
  <c r="A169" i="2"/>
  <c r="C77" i="2"/>
  <c r="C13" i="2"/>
  <c r="C158" i="2"/>
  <c r="A10" i="2"/>
  <c r="D56" i="2"/>
  <c r="D13" i="2"/>
  <c r="A192" i="2"/>
  <c r="C39" i="2"/>
  <c r="D84" i="2"/>
  <c r="D65" i="2"/>
  <c r="A164" i="2"/>
  <c r="C159" i="2"/>
  <c r="C136" i="2"/>
  <c r="A197" i="2"/>
  <c r="C172" i="2"/>
  <c r="A13" i="2"/>
  <c r="A46" i="2"/>
  <c r="D63" i="2"/>
  <c r="A196" i="2"/>
  <c r="D113" i="2"/>
  <c r="D104" i="2"/>
  <c r="A21" i="2"/>
  <c r="C44" i="2"/>
  <c r="D11" i="2"/>
  <c r="A84" i="2"/>
  <c r="A67" i="2"/>
  <c r="C151" i="2"/>
  <c r="C98" i="2"/>
  <c r="D3" i="2"/>
  <c r="C22" i="2"/>
  <c r="D26" i="2"/>
  <c r="D102" i="2"/>
  <c r="C118" i="2"/>
  <c r="D103" i="2"/>
  <c r="D43" i="2"/>
  <c r="D189" i="2"/>
  <c r="C146" i="2"/>
  <c r="D29" i="2"/>
  <c r="C121" i="2"/>
  <c r="D115" i="2"/>
  <c r="D177" i="2"/>
  <c r="A69" i="2"/>
  <c r="C197" i="2"/>
  <c r="A114" i="2"/>
  <c r="A199" i="2"/>
  <c r="A174" i="2"/>
  <c r="A112" i="2"/>
  <c r="A178" i="2"/>
  <c r="A26" i="2"/>
  <c r="D16" i="2"/>
  <c r="A41" i="2"/>
  <c r="D123" i="2"/>
  <c r="D72" i="2"/>
  <c r="D40" i="2"/>
  <c r="D197" i="2"/>
  <c r="D33" i="2"/>
  <c r="D148" i="2"/>
  <c r="C92" i="2"/>
  <c r="A82" i="2"/>
  <c r="C143" i="2"/>
  <c r="C18" i="2"/>
  <c r="A96" i="2"/>
  <c r="A97" i="2"/>
  <c r="C30" i="2"/>
  <c r="D110" i="2"/>
  <c r="D2" i="2"/>
  <c r="C184" i="2"/>
  <c r="A151" i="2"/>
  <c r="C188" i="2"/>
  <c r="D162" i="2"/>
  <c r="C72" i="2"/>
  <c r="C42" i="2"/>
  <c r="D144" i="2"/>
  <c r="C169" i="2"/>
  <c r="C40" i="2"/>
  <c r="A105" i="2"/>
  <c r="A36" i="2"/>
  <c r="C81" i="2"/>
  <c r="D99" i="2"/>
  <c r="D131" i="2"/>
  <c r="D106" i="2"/>
  <c r="A60" i="2"/>
  <c r="C198" i="2"/>
  <c r="C5" i="2"/>
  <c r="D80" i="2"/>
  <c r="A179" i="2"/>
  <c r="D150" i="2"/>
  <c r="A161" i="2"/>
  <c r="D161" i="2"/>
  <c r="C82" i="2"/>
  <c r="A70" i="2"/>
  <c r="D201" i="2"/>
  <c r="A111" i="2"/>
  <c r="C79" i="2"/>
  <c r="C144" i="2"/>
  <c r="D59" i="2"/>
  <c r="C55" i="2"/>
  <c r="C160" i="2"/>
  <c r="C167" i="2"/>
  <c r="D120" i="2"/>
  <c r="C109" i="2"/>
  <c r="D45" i="2"/>
  <c r="C106" i="2"/>
  <c r="D165" i="2"/>
  <c r="C182" i="2"/>
  <c r="C25" i="2"/>
  <c r="D58" i="2"/>
  <c r="A31" i="2"/>
  <c r="D194" i="2"/>
  <c r="D138" i="2"/>
  <c r="D174" i="2"/>
  <c r="C29" i="2"/>
  <c r="A140" i="2"/>
  <c r="A181" i="2"/>
  <c r="D168" i="2"/>
  <c r="A22" i="2"/>
  <c r="D124" i="2"/>
  <c r="A55" i="2"/>
  <c r="C69" i="2"/>
  <c r="A147" i="2"/>
  <c r="A4" i="2"/>
  <c r="A152" i="2"/>
  <c r="D38" i="2"/>
  <c r="A35" i="2"/>
  <c r="C38" i="2"/>
  <c r="C97" i="2"/>
  <c r="A120" i="2"/>
  <c r="C87" i="2"/>
  <c r="A133" i="2"/>
  <c r="D170" i="2"/>
  <c r="C150" i="2"/>
  <c r="A12" i="2"/>
  <c r="C67" i="2"/>
  <c r="D179" i="2"/>
  <c r="D116" i="2"/>
  <c r="A14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ECD0D7-EE11-4B8F-B8ED-FDB55F9087F9}" keepAlive="1" name="Abfrage - parkhaus_sim_log" description="Verbindung mit der Abfrage 'parkhaus_sim_log' in der Arbeitsmappe." type="5" refreshedVersion="8" background="1" saveData="1">
    <dbPr connection="Provider=Microsoft.Mashup.OleDb.1;Data Source=$Workbook$;Location=parkhaus_sim_log;Extended Properties=&quot;&quot;" command="SELECT * FROM [parkhaus_sim_log]"/>
  </connection>
  <connection id="2" xr16:uid="{B346C99C-2D2D-419D-92D6-F728242F44CB}" keepAlive="1" name="Abfrage - parkhaus_sim_log (2)" description="Verbindung mit der Abfrage 'parkhaus_sim_log (2)' in der Arbeitsmappe." type="5" refreshedVersion="0" background="1">
    <dbPr connection="Provider=Microsoft.Mashup.OleDb.1;Data Source=$Workbook$;Location=&quot;parkhaus_sim_log (2)&quot;;Extended Properties=&quot;&quot;" command="SELECT * FROM [parkhaus_sim_log (2)]"/>
  </connection>
</connections>
</file>

<file path=xl/sharedStrings.xml><?xml version="1.0" encoding="utf-8"?>
<sst xmlns="http://schemas.openxmlformats.org/spreadsheetml/2006/main" count="11" uniqueCount="11">
  <si>
    <t>Number of spaces: 50</t>
  </si>
  <si>
    <t xml:space="preserve"> Max. parking time: 100</t>
  </si>
  <si>
    <t xml:space="preserve"> Duration: 200</t>
  </si>
  <si>
    <t xml:space="preserve"> Gen. probability: 98</t>
  </si>
  <si>
    <t xml:space="preserve"> Seed: 1</t>
  </si>
  <si>
    <t>Timestamp</t>
  </si>
  <si>
    <t>Occupancy rate</t>
  </si>
  <si>
    <t>Cars waiting</t>
  </si>
  <si>
    <t>Max wait time</t>
  </si>
  <si>
    <t>Avg wait time</t>
  </si>
  <si>
    <t>Stress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</si>
</sst>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7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Simulation of 200</a:t>
            </a:r>
            <a:r>
              <a:rPr lang="de-DE" baseline="0"/>
              <a:t> Timesteps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parkhaus_sim_log!$B$1</c:f>
              <c:strCache>
                <c:ptCount val="1"/>
                <c:pt idx="0">
                  <c:v>Occupancy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parkhaus_sim_log!$A$2:$A$201</c:f>
              <c:numCache>
                <c:formatCode>0</c:formatCode>
                <c:ptCount val="2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</c:numCache>
            </c:numRef>
          </c:cat>
          <c:val>
            <c:numRef>
              <c:f>parkhaus_sim_log!$B$2:$B$201</c:f>
              <c:numCache>
                <c:formatCode>0.00</c:formatCode>
                <c:ptCount val="20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32</c:v>
                </c:pt>
                <c:pt idx="18">
                  <c:v>34</c:v>
                </c:pt>
                <c:pt idx="19">
                  <c:v>36</c:v>
                </c:pt>
                <c:pt idx="20">
                  <c:v>38</c:v>
                </c:pt>
                <c:pt idx="21">
                  <c:v>40</c:v>
                </c:pt>
                <c:pt idx="22">
                  <c:v>42</c:v>
                </c:pt>
                <c:pt idx="23">
                  <c:v>44</c:v>
                </c:pt>
                <c:pt idx="24">
                  <c:v>46</c:v>
                </c:pt>
                <c:pt idx="25">
                  <c:v>48</c:v>
                </c:pt>
                <c:pt idx="26">
                  <c:v>50</c:v>
                </c:pt>
                <c:pt idx="27">
                  <c:v>50</c:v>
                </c:pt>
                <c:pt idx="28">
                  <c:v>52</c:v>
                </c:pt>
                <c:pt idx="29">
                  <c:v>54</c:v>
                </c:pt>
                <c:pt idx="30">
                  <c:v>52</c:v>
                </c:pt>
                <c:pt idx="31">
                  <c:v>54</c:v>
                </c:pt>
                <c:pt idx="32">
                  <c:v>54</c:v>
                </c:pt>
                <c:pt idx="33">
                  <c:v>56</c:v>
                </c:pt>
                <c:pt idx="34">
                  <c:v>56</c:v>
                </c:pt>
                <c:pt idx="35">
                  <c:v>56</c:v>
                </c:pt>
                <c:pt idx="36">
                  <c:v>58</c:v>
                </c:pt>
                <c:pt idx="37">
                  <c:v>60</c:v>
                </c:pt>
                <c:pt idx="38">
                  <c:v>62</c:v>
                </c:pt>
                <c:pt idx="39">
                  <c:v>62</c:v>
                </c:pt>
                <c:pt idx="40">
                  <c:v>64</c:v>
                </c:pt>
                <c:pt idx="41">
                  <c:v>64</c:v>
                </c:pt>
                <c:pt idx="42">
                  <c:v>64</c:v>
                </c:pt>
                <c:pt idx="43">
                  <c:v>64</c:v>
                </c:pt>
                <c:pt idx="44">
                  <c:v>66</c:v>
                </c:pt>
                <c:pt idx="45">
                  <c:v>68</c:v>
                </c:pt>
                <c:pt idx="46">
                  <c:v>68</c:v>
                </c:pt>
                <c:pt idx="47">
                  <c:v>70</c:v>
                </c:pt>
                <c:pt idx="48">
                  <c:v>72</c:v>
                </c:pt>
                <c:pt idx="49">
                  <c:v>74</c:v>
                </c:pt>
                <c:pt idx="50">
                  <c:v>76</c:v>
                </c:pt>
                <c:pt idx="51">
                  <c:v>74</c:v>
                </c:pt>
                <c:pt idx="52">
                  <c:v>76</c:v>
                </c:pt>
                <c:pt idx="53">
                  <c:v>76</c:v>
                </c:pt>
                <c:pt idx="54">
                  <c:v>78</c:v>
                </c:pt>
                <c:pt idx="55">
                  <c:v>76</c:v>
                </c:pt>
                <c:pt idx="56">
                  <c:v>78</c:v>
                </c:pt>
                <c:pt idx="57">
                  <c:v>80</c:v>
                </c:pt>
                <c:pt idx="58">
                  <c:v>82</c:v>
                </c:pt>
                <c:pt idx="59">
                  <c:v>84</c:v>
                </c:pt>
                <c:pt idx="60">
                  <c:v>84</c:v>
                </c:pt>
                <c:pt idx="61">
                  <c:v>86</c:v>
                </c:pt>
                <c:pt idx="62">
                  <c:v>86</c:v>
                </c:pt>
                <c:pt idx="63">
                  <c:v>88</c:v>
                </c:pt>
                <c:pt idx="64">
                  <c:v>88</c:v>
                </c:pt>
                <c:pt idx="65">
                  <c:v>88</c:v>
                </c:pt>
                <c:pt idx="66">
                  <c:v>84</c:v>
                </c:pt>
                <c:pt idx="67">
                  <c:v>86</c:v>
                </c:pt>
                <c:pt idx="68">
                  <c:v>86</c:v>
                </c:pt>
                <c:pt idx="69">
                  <c:v>86</c:v>
                </c:pt>
                <c:pt idx="70">
                  <c:v>82</c:v>
                </c:pt>
                <c:pt idx="71">
                  <c:v>84</c:v>
                </c:pt>
                <c:pt idx="72">
                  <c:v>84</c:v>
                </c:pt>
                <c:pt idx="73">
                  <c:v>86</c:v>
                </c:pt>
                <c:pt idx="74">
                  <c:v>86</c:v>
                </c:pt>
                <c:pt idx="75">
                  <c:v>88</c:v>
                </c:pt>
                <c:pt idx="76">
                  <c:v>88</c:v>
                </c:pt>
                <c:pt idx="77">
                  <c:v>90</c:v>
                </c:pt>
                <c:pt idx="78">
                  <c:v>92</c:v>
                </c:pt>
                <c:pt idx="79">
                  <c:v>94</c:v>
                </c:pt>
                <c:pt idx="80">
                  <c:v>96</c:v>
                </c:pt>
                <c:pt idx="81">
                  <c:v>98</c:v>
                </c:pt>
                <c:pt idx="82">
                  <c:v>98</c:v>
                </c:pt>
                <c:pt idx="83">
                  <c:v>94</c:v>
                </c:pt>
                <c:pt idx="84">
                  <c:v>94</c:v>
                </c:pt>
                <c:pt idx="85">
                  <c:v>94</c:v>
                </c:pt>
                <c:pt idx="86">
                  <c:v>94</c:v>
                </c:pt>
                <c:pt idx="87">
                  <c:v>90</c:v>
                </c:pt>
                <c:pt idx="88">
                  <c:v>88</c:v>
                </c:pt>
                <c:pt idx="89">
                  <c:v>90</c:v>
                </c:pt>
                <c:pt idx="90">
                  <c:v>92</c:v>
                </c:pt>
                <c:pt idx="91">
                  <c:v>90</c:v>
                </c:pt>
                <c:pt idx="92">
                  <c:v>92</c:v>
                </c:pt>
                <c:pt idx="93">
                  <c:v>92</c:v>
                </c:pt>
                <c:pt idx="94">
                  <c:v>94</c:v>
                </c:pt>
                <c:pt idx="95">
                  <c:v>94</c:v>
                </c:pt>
                <c:pt idx="96">
                  <c:v>94</c:v>
                </c:pt>
                <c:pt idx="97">
                  <c:v>96</c:v>
                </c:pt>
                <c:pt idx="98">
                  <c:v>94</c:v>
                </c:pt>
                <c:pt idx="99">
                  <c:v>94</c:v>
                </c:pt>
                <c:pt idx="100">
                  <c:v>96</c:v>
                </c:pt>
                <c:pt idx="101">
                  <c:v>96</c:v>
                </c:pt>
                <c:pt idx="102">
                  <c:v>98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98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98</c:v>
                </c:pt>
                <c:pt idx="118">
                  <c:v>98</c:v>
                </c:pt>
                <c:pt idx="119">
                  <c:v>96</c:v>
                </c:pt>
                <c:pt idx="120">
                  <c:v>96</c:v>
                </c:pt>
                <c:pt idx="121">
                  <c:v>98</c:v>
                </c:pt>
                <c:pt idx="122">
                  <c:v>96</c:v>
                </c:pt>
                <c:pt idx="123">
                  <c:v>98</c:v>
                </c:pt>
                <c:pt idx="124">
                  <c:v>100</c:v>
                </c:pt>
                <c:pt idx="125">
                  <c:v>98</c:v>
                </c:pt>
                <c:pt idx="126">
                  <c:v>98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96</c:v>
                </c:pt>
                <c:pt idx="133">
                  <c:v>98</c:v>
                </c:pt>
                <c:pt idx="134">
                  <c:v>98</c:v>
                </c:pt>
                <c:pt idx="135">
                  <c:v>96</c:v>
                </c:pt>
                <c:pt idx="136">
                  <c:v>98</c:v>
                </c:pt>
                <c:pt idx="137">
                  <c:v>98</c:v>
                </c:pt>
                <c:pt idx="138">
                  <c:v>98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6B-4776-BB52-2A2F477C6470}"/>
            </c:ext>
          </c:extLst>
        </c:ser>
        <c:ser>
          <c:idx val="1"/>
          <c:order val="1"/>
          <c:tx>
            <c:strRef>
              <c:f>parkhaus_sim_log!$C$1</c:f>
              <c:strCache>
                <c:ptCount val="1"/>
                <c:pt idx="0">
                  <c:v>Cars waiting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parkhaus_sim_log!$A$2:$A$201</c:f>
              <c:numCache>
                <c:formatCode>0</c:formatCode>
                <c:ptCount val="2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</c:numCache>
            </c:numRef>
          </c:cat>
          <c:val>
            <c:numRef>
              <c:f>parkhaus_sim_log!$C$2:$C$201</c:f>
              <c:numCache>
                <c:formatCode>0.00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2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2</c:v>
                </c:pt>
                <c:pt idx="114">
                  <c:v>1</c:v>
                </c:pt>
                <c:pt idx="115">
                  <c:v>2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</c:v>
                </c:pt>
                <c:pt idx="144">
                  <c:v>2</c:v>
                </c:pt>
                <c:pt idx="145">
                  <c:v>3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4</c:v>
                </c:pt>
                <c:pt idx="152">
                  <c:v>3</c:v>
                </c:pt>
                <c:pt idx="153">
                  <c:v>3</c:v>
                </c:pt>
                <c:pt idx="154">
                  <c:v>4</c:v>
                </c:pt>
                <c:pt idx="155">
                  <c:v>4</c:v>
                </c:pt>
                <c:pt idx="156">
                  <c:v>5</c:v>
                </c:pt>
                <c:pt idx="157">
                  <c:v>6</c:v>
                </c:pt>
                <c:pt idx="158">
                  <c:v>6</c:v>
                </c:pt>
                <c:pt idx="159">
                  <c:v>7</c:v>
                </c:pt>
                <c:pt idx="160">
                  <c:v>6</c:v>
                </c:pt>
                <c:pt idx="161">
                  <c:v>6</c:v>
                </c:pt>
                <c:pt idx="162">
                  <c:v>6</c:v>
                </c:pt>
                <c:pt idx="163">
                  <c:v>5</c:v>
                </c:pt>
                <c:pt idx="164">
                  <c:v>6</c:v>
                </c:pt>
                <c:pt idx="165">
                  <c:v>6</c:v>
                </c:pt>
                <c:pt idx="166">
                  <c:v>6</c:v>
                </c:pt>
                <c:pt idx="167">
                  <c:v>7</c:v>
                </c:pt>
                <c:pt idx="168">
                  <c:v>8</c:v>
                </c:pt>
                <c:pt idx="169">
                  <c:v>9</c:v>
                </c:pt>
                <c:pt idx="170">
                  <c:v>8</c:v>
                </c:pt>
                <c:pt idx="171">
                  <c:v>9</c:v>
                </c:pt>
                <c:pt idx="172">
                  <c:v>10</c:v>
                </c:pt>
                <c:pt idx="173">
                  <c:v>10</c:v>
                </c:pt>
                <c:pt idx="174">
                  <c:v>8</c:v>
                </c:pt>
                <c:pt idx="175">
                  <c:v>9</c:v>
                </c:pt>
                <c:pt idx="176">
                  <c:v>8</c:v>
                </c:pt>
                <c:pt idx="177">
                  <c:v>9</c:v>
                </c:pt>
                <c:pt idx="178">
                  <c:v>9</c:v>
                </c:pt>
                <c:pt idx="179">
                  <c:v>10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9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7</c:v>
                </c:pt>
                <c:pt idx="192">
                  <c:v>8</c:v>
                </c:pt>
                <c:pt idx="193">
                  <c:v>9</c:v>
                </c:pt>
                <c:pt idx="194">
                  <c:v>10</c:v>
                </c:pt>
                <c:pt idx="195">
                  <c:v>11</c:v>
                </c:pt>
                <c:pt idx="196">
                  <c:v>11</c:v>
                </c:pt>
                <c:pt idx="197">
                  <c:v>10</c:v>
                </c:pt>
                <c:pt idx="198">
                  <c:v>11</c:v>
                </c:pt>
                <c:pt idx="19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6B-4776-BB52-2A2F477C6470}"/>
            </c:ext>
          </c:extLst>
        </c:ser>
        <c:ser>
          <c:idx val="2"/>
          <c:order val="2"/>
          <c:tx>
            <c:strRef>
              <c:f>parkhaus_sim_log!$D$1</c:f>
              <c:strCache>
                <c:ptCount val="1"/>
                <c:pt idx="0">
                  <c:v>Max wait time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parkhaus_sim_log!$A$2:$A$201</c:f>
              <c:numCache>
                <c:formatCode>0</c:formatCode>
                <c:ptCount val="2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</c:numCache>
            </c:numRef>
          </c:cat>
          <c:val>
            <c:numRef>
              <c:f>parkhaus_sim_log!$D$2:$D$201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0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2</c:v>
                </c:pt>
                <c:pt idx="146">
                  <c:v>2</c:v>
                </c:pt>
                <c:pt idx="147">
                  <c:v>3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3</c:v>
                </c:pt>
                <c:pt idx="152">
                  <c:v>2</c:v>
                </c:pt>
                <c:pt idx="153">
                  <c:v>2</c:v>
                </c:pt>
                <c:pt idx="154">
                  <c:v>3</c:v>
                </c:pt>
                <c:pt idx="155">
                  <c:v>3</c:v>
                </c:pt>
                <c:pt idx="156">
                  <c:v>4</c:v>
                </c:pt>
                <c:pt idx="157">
                  <c:v>5</c:v>
                </c:pt>
                <c:pt idx="158">
                  <c:v>5</c:v>
                </c:pt>
                <c:pt idx="159">
                  <c:v>6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4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6</c:v>
                </c:pt>
                <c:pt idx="168">
                  <c:v>7</c:v>
                </c:pt>
                <c:pt idx="169">
                  <c:v>8</c:v>
                </c:pt>
                <c:pt idx="170">
                  <c:v>7</c:v>
                </c:pt>
                <c:pt idx="171">
                  <c:v>8</c:v>
                </c:pt>
                <c:pt idx="172">
                  <c:v>9</c:v>
                </c:pt>
                <c:pt idx="173">
                  <c:v>9</c:v>
                </c:pt>
                <c:pt idx="174">
                  <c:v>7</c:v>
                </c:pt>
                <c:pt idx="175">
                  <c:v>8</c:v>
                </c:pt>
                <c:pt idx="176">
                  <c:v>7</c:v>
                </c:pt>
                <c:pt idx="177">
                  <c:v>8</c:v>
                </c:pt>
                <c:pt idx="178">
                  <c:v>8</c:v>
                </c:pt>
                <c:pt idx="179">
                  <c:v>9</c:v>
                </c:pt>
                <c:pt idx="180">
                  <c:v>7</c:v>
                </c:pt>
                <c:pt idx="181">
                  <c:v>7</c:v>
                </c:pt>
                <c:pt idx="182">
                  <c:v>7</c:v>
                </c:pt>
                <c:pt idx="183">
                  <c:v>7</c:v>
                </c:pt>
                <c:pt idx="184">
                  <c:v>8</c:v>
                </c:pt>
                <c:pt idx="185">
                  <c:v>7</c:v>
                </c:pt>
                <c:pt idx="186">
                  <c:v>7</c:v>
                </c:pt>
                <c:pt idx="187">
                  <c:v>7</c:v>
                </c:pt>
                <c:pt idx="188">
                  <c:v>7</c:v>
                </c:pt>
                <c:pt idx="189">
                  <c:v>7</c:v>
                </c:pt>
                <c:pt idx="190">
                  <c:v>7</c:v>
                </c:pt>
                <c:pt idx="191">
                  <c:v>6</c:v>
                </c:pt>
                <c:pt idx="192">
                  <c:v>7</c:v>
                </c:pt>
                <c:pt idx="193">
                  <c:v>8</c:v>
                </c:pt>
                <c:pt idx="194">
                  <c:v>9</c:v>
                </c:pt>
                <c:pt idx="195">
                  <c:v>10</c:v>
                </c:pt>
                <c:pt idx="196">
                  <c:v>10</c:v>
                </c:pt>
                <c:pt idx="197">
                  <c:v>9</c:v>
                </c:pt>
                <c:pt idx="198">
                  <c:v>10</c:v>
                </c:pt>
                <c:pt idx="19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6B-4776-BB52-2A2F477C6470}"/>
            </c:ext>
          </c:extLst>
        </c:ser>
        <c:ser>
          <c:idx val="3"/>
          <c:order val="3"/>
          <c:tx>
            <c:strRef>
              <c:f>parkhaus_sim_log!$E$1</c:f>
              <c:strCache>
                <c:ptCount val="1"/>
                <c:pt idx="0">
                  <c:v>Avg wait time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parkhaus_sim_log!$A$2:$A$201</c:f>
              <c:numCache>
                <c:formatCode>0</c:formatCode>
                <c:ptCount val="2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</c:numCache>
            </c:numRef>
          </c:cat>
          <c:val>
            <c:numRef>
              <c:f>parkhaus_sim_log!$E$2:$E$201</c:f>
              <c:numCache>
                <c:formatCode>0.00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0.5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0.5</c:v>
                </c:pt>
                <c:pt idx="114">
                  <c:v>0</c:v>
                </c:pt>
                <c:pt idx="115">
                  <c:v>0.5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0.5</c:v>
                </c:pt>
                <c:pt idx="145">
                  <c:v>1</c:v>
                </c:pt>
                <c:pt idx="146">
                  <c:v>1</c:v>
                </c:pt>
                <c:pt idx="147">
                  <c:v>1.5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1.5</c:v>
                </c:pt>
                <c:pt idx="152">
                  <c:v>1</c:v>
                </c:pt>
                <c:pt idx="153">
                  <c:v>1</c:v>
                </c:pt>
                <c:pt idx="154">
                  <c:v>1.5</c:v>
                </c:pt>
                <c:pt idx="155">
                  <c:v>1.5</c:v>
                </c:pt>
                <c:pt idx="156">
                  <c:v>2</c:v>
                </c:pt>
                <c:pt idx="157">
                  <c:v>2.5</c:v>
                </c:pt>
                <c:pt idx="158">
                  <c:v>2.5</c:v>
                </c:pt>
                <c:pt idx="159">
                  <c:v>3</c:v>
                </c:pt>
                <c:pt idx="160">
                  <c:v>2.5</c:v>
                </c:pt>
                <c:pt idx="161">
                  <c:v>2.5</c:v>
                </c:pt>
                <c:pt idx="162">
                  <c:v>2.5</c:v>
                </c:pt>
                <c:pt idx="163">
                  <c:v>2</c:v>
                </c:pt>
                <c:pt idx="164">
                  <c:v>2.5</c:v>
                </c:pt>
                <c:pt idx="165">
                  <c:v>2.5</c:v>
                </c:pt>
                <c:pt idx="166">
                  <c:v>2.5</c:v>
                </c:pt>
                <c:pt idx="167">
                  <c:v>3</c:v>
                </c:pt>
                <c:pt idx="168">
                  <c:v>3.5</c:v>
                </c:pt>
                <c:pt idx="169">
                  <c:v>4</c:v>
                </c:pt>
                <c:pt idx="170">
                  <c:v>3.5</c:v>
                </c:pt>
                <c:pt idx="171">
                  <c:v>4</c:v>
                </c:pt>
                <c:pt idx="172">
                  <c:v>4.5</c:v>
                </c:pt>
                <c:pt idx="173">
                  <c:v>4.5</c:v>
                </c:pt>
                <c:pt idx="174">
                  <c:v>3.5</c:v>
                </c:pt>
                <c:pt idx="175">
                  <c:v>4</c:v>
                </c:pt>
                <c:pt idx="176">
                  <c:v>3.5</c:v>
                </c:pt>
                <c:pt idx="177">
                  <c:v>4</c:v>
                </c:pt>
                <c:pt idx="178">
                  <c:v>4</c:v>
                </c:pt>
                <c:pt idx="179">
                  <c:v>4.5</c:v>
                </c:pt>
                <c:pt idx="180">
                  <c:v>3.5</c:v>
                </c:pt>
                <c:pt idx="181">
                  <c:v>3.5</c:v>
                </c:pt>
                <c:pt idx="182">
                  <c:v>3.5</c:v>
                </c:pt>
                <c:pt idx="183">
                  <c:v>3.5</c:v>
                </c:pt>
                <c:pt idx="184">
                  <c:v>4</c:v>
                </c:pt>
                <c:pt idx="185">
                  <c:v>3.5</c:v>
                </c:pt>
                <c:pt idx="186">
                  <c:v>3.5</c:v>
                </c:pt>
                <c:pt idx="187">
                  <c:v>3.5</c:v>
                </c:pt>
                <c:pt idx="188">
                  <c:v>3.5</c:v>
                </c:pt>
                <c:pt idx="189">
                  <c:v>3.5</c:v>
                </c:pt>
                <c:pt idx="190">
                  <c:v>3.5</c:v>
                </c:pt>
                <c:pt idx="191">
                  <c:v>3</c:v>
                </c:pt>
                <c:pt idx="192">
                  <c:v>3.5</c:v>
                </c:pt>
                <c:pt idx="193">
                  <c:v>4</c:v>
                </c:pt>
                <c:pt idx="194">
                  <c:v>4.5</c:v>
                </c:pt>
                <c:pt idx="195">
                  <c:v>5</c:v>
                </c:pt>
                <c:pt idx="196">
                  <c:v>5</c:v>
                </c:pt>
                <c:pt idx="197">
                  <c:v>4.5</c:v>
                </c:pt>
                <c:pt idx="198">
                  <c:v>5</c:v>
                </c:pt>
                <c:pt idx="199">
                  <c:v>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6B-4776-BB52-2A2F477C6470}"/>
            </c:ext>
          </c:extLst>
        </c:ser>
        <c:ser>
          <c:idx val="4"/>
          <c:order val="4"/>
          <c:tx>
            <c:strRef>
              <c:f>parkhaus_sim_log!$F$1</c:f>
              <c:strCache>
                <c:ptCount val="1"/>
                <c:pt idx="0">
                  <c:v>Stress score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parkhaus_sim_log!$A$2:$A$201</c:f>
              <c:numCache>
                <c:formatCode>0</c:formatCode>
                <c:ptCount val="2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</c:numCache>
            </c:numRef>
          </c:cat>
          <c:val>
            <c:numRef>
              <c:f>parkhaus_sim_log!$F$2:$F$201</c:f>
              <c:numCache>
                <c:formatCode>0.00</c:formatCode>
                <c:ptCount val="200"/>
                <c:pt idx="0">
                  <c:v>0.02</c:v>
                </c:pt>
                <c:pt idx="1">
                  <c:v>0.08</c:v>
                </c:pt>
                <c:pt idx="2">
                  <c:v>0.18</c:v>
                </c:pt>
                <c:pt idx="3">
                  <c:v>0.32</c:v>
                </c:pt>
                <c:pt idx="4">
                  <c:v>0.5</c:v>
                </c:pt>
                <c:pt idx="5">
                  <c:v>0.72</c:v>
                </c:pt>
                <c:pt idx="6">
                  <c:v>0.72</c:v>
                </c:pt>
                <c:pt idx="7">
                  <c:v>0.98</c:v>
                </c:pt>
                <c:pt idx="8">
                  <c:v>1.28</c:v>
                </c:pt>
                <c:pt idx="9">
                  <c:v>1.62</c:v>
                </c:pt>
                <c:pt idx="10">
                  <c:v>2</c:v>
                </c:pt>
                <c:pt idx="11">
                  <c:v>2.42</c:v>
                </c:pt>
                <c:pt idx="12">
                  <c:v>2.88</c:v>
                </c:pt>
                <c:pt idx="13">
                  <c:v>3.38</c:v>
                </c:pt>
                <c:pt idx="14">
                  <c:v>3.92</c:v>
                </c:pt>
                <c:pt idx="15">
                  <c:v>3.92</c:v>
                </c:pt>
                <c:pt idx="16">
                  <c:v>4.5</c:v>
                </c:pt>
                <c:pt idx="17">
                  <c:v>5.12</c:v>
                </c:pt>
                <c:pt idx="18">
                  <c:v>5.78</c:v>
                </c:pt>
                <c:pt idx="19">
                  <c:v>6.48</c:v>
                </c:pt>
                <c:pt idx="20">
                  <c:v>7.22</c:v>
                </c:pt>
                <c:pt idx="21">
                  <c:v>8</c:v>
                </c:pt>
                <c:pt idx="22">
                  <c:v>8.82</c:v>
                </c:pt>
                <c:pt idx="23">
                  <c:v>9.68</c:v>
                </c:pt>
                <c:pt idx="24">
                  <c:v>10.58</c:v>
                </c:pt>
                <c:pt idx="25">
                  <c:v>11.52</c:v>
                </c:pt>
                <c:pt idx="26">
                  <c:v>12.5</c:v>
                </c:pt>
                <c:pt idx="27">
                  <c:v>12.5</c:v>
                </c:pt>
                <c:pt idx="28">
                  <c:v>13.52</c:v>
                </c:pt>
                <c:pt idx="29">
                  <c:v>14.58</c:v>
                </c:pt>
                <c:pt idx="30">
                  <c:v>13.52</c:v>
                </c:pt>
                <c:pt idx="31">
                  <c:v>14.58</c:v>
                </c:pt>
                <c:pt idx="32">
                  <c:v>14.58</c:v>
                </c:pt>
                <c:pt idx="33">
                  <c:v>15.68</c:v>
                </c:pt>
                <c:pt idx="34">
                  <c:v>15.68</c:v>
                </c:pt>
                <c:pt idx="35">
                  <c:v>15.68</c:v>
                </c:pt>
                <c:pt idx="36">
                  <c:v>16.82</c:v>
                </c:pt>
                <c:pt idx="37">
                  <c:v>18</c:v>
                </c:pt>
                <c:pt idx="38">
                  <c:v>19.22</c:v>
                </c:pt>
                <c:pt idx="39">
                  <c:v>19.22</c:v>
                </c:pt>
                <c:pt idx="40">
                  <c:v>20.48</c:v>
                </c:pt>
                <c:pt idx="41">
                  <c:v>20.48</c:v>
                </c:pt>
                <c:pt idx="42">
                  <c:v>20.48</c:v>
                </c:pt>
                <c:pt idx="43">
                  <c:v>20.48</c:v>
                </c:pt>
                <c:pt idx="44">
                  <c:v>21.78</c:v>
                </c:pt>
                <c:pt idx="45">
                  <c:v>23.12</c:v>
                </c:pt>
                <c:pt idx="46">
                  <c:v>23.12</c:v>
                </c:pt>
                <c:pt idx="47">
                  <c:v>24.5</c:v>
                </c:pt>
                <c:pt idx="48">
                  <c:v>25.92</c:v>
                </c:pt>
                <c:pt idx="49">
                  <c:v>27.38</c:v>
                </c:pt>
                <c:pt idx="50">
                  <c:v>28.88</c:v>
                </c:pt>
                <c:pt idx="51">
                  <c:v>27.38</c:v>
                </c:pt>
                <c:pt idx="52">
                  <c:v>28.88</c:v>
                </c:pt>
                <c:pt idx="53">
                  <c:v>28.88</c:v>
                </c:pt>
                <c:pt idx="54">
                  <c:v>30.42</c:v>
                </c:pt>
                <c:pt idx="55">
                  <c:v>28.88</c:v>
                </c:pt>
                <c:pt idx="56">
                  <c:v>30.42</c:v>
                </c:pt>
                <c:pt idx="57">
                  <c:v>32</c:v>
                </c:pt>
                <c:pt idx="58">
                  <c:v>33.619999999999997</c:v>
                </c:pt>
                <c:pt idx="59">
                  <c:v>35.28</c:v>
                </c:pt>
                <c:pt idx="60">
                  <c:v>35.28</c:v>
                </c:pt>
                <c:pt idx="61">
                  <c:v>36.979999999999997</c:v>
                </c:pt>
                <c:pt idx="62">
                  <c:v>36.979999999999997</c:v>
                </c:pt>
                <c:pt idx="63">
                  <c:v>38.72</c:v>
                </c:pt>
                <c:pt idx="64">
                  <c:v>38.72</c:v>
                </c:pt>
                <c:pt idx="65">
                  <c:v>38.72</c:v>
                </c:pt>
                <c:pt idx="66">
                  <c:v>35.28</c:v>
                </c:pt>
                <c:pt idx="67">
                  <c:v>36.979999999999997</c:v>
                </c:pt>
                <c:pt idx="68">
                  <c:v>36.979999999999997</c:v>
                </c:pt>
                <c:pt idx="69">
                  <c:v>36.979999999999997</c:v>
                </c:pt>
                <c:pt idx="70">
                  <c:v>33.619999999999997</c:v>
                </c:pt>
                <c:pt idx="71">
                  <c:v>35.28</c:v>
                </c:pt>
                <c:pt idx="72">
                  <c:v>35.28</c:v>
                </c:pt>
                <c:pt idx="73">
                  <c:v>36.979999999999997</c:v>
                </c:pt>
                <c:pt idx="74">
                  <c:v>36.979999999999997</c:v>
                </c:pt>
                <c:pt idx="75">
                  <c:v>38.72</c:v>
                </c:pt>
                <c:pt idx="76">
                  <c:v>38.72</c:v>
                </c:pt>
                <c:pt idx="77">
                  <c:v>40.5</c:v>
                </c:pt>
                <c:pt idx="78">
                  <c:v>42.32</c:v>
                </c:pt>
                <c:pt idx="79">
                  <c:v>44.18</c:v>
                </c:pt>
                <c:pt idx="80">
                  <c:v>46.08</c:v>
                </c:pt>
                <c:pt idx="81">
                  <c:v>48.02</c:v>
                </c:pt>
                <c:pt idx="82">
                  <c:v>48.02</c:v>
                </c:pt>
                <c:pt idx="83">
                  <c:v>44.18</c:v>
                </c:pt>
                <c:pt idx="84">
                  <c:v>44.18</c:v>
                </c:pt>
                <c:pt idx="85">
                  <c:v>44.18</c:v>
                </c:pt>
                <c:pt idx="86">
                  <c:v>44.18</c:v>
                </c:pt>
                <c:pt idx="87">
                  <c:v>40.5</c:v>
                </c:pt>
                <c:pt idx="88">
                  <c:v>38.72</c:v>
                </c:pt>
                <c:pt idx="89">
                  <c:v>40.5</c:v>
                </c:pt>
                <c:pt idx="90">
                  <c:v>42.32</c:v>
                </c:pt>
                <c:pt idx="91">
                  <c:v>40.5</c:v>
                </c:pt>
                <c:pt idx="92">
                  <c:v>42.32</c:v>
                </c:pt>
                <c:pt idx="93">
                  <c:v>42.32</c:v>
                </c:pt>
                <c:pt idx="94">
                  <c:v>44.18</c:v>
                </c:pt>
                <c:pt idx="95">
                  <c:v>44.18</c:v>
                </c:pt>
                <c:pt idx="96">
                  <c:v>44.18</c:v>
                </c:pt>
                <c:pt idx="97">
                  <c:v>46.08</c:v>
                </c:pt>
                <c:pt idx="98">
                  <c:v>44.18</c:v>
                </c:pt>
                <c:pt idx="99">
                  <c:v>44.18</c:v>
                </c:pt>
                <c:pt idx="100">
                  <c:v>46.08</c:v>
                </c:pt>
                <c:pt idx="101">
                  <c:v>46.08</c:v>
                </c:pt>
                <c:pt idx="102">
                  <c:v>48.02</c:v>
                </c:pt>
                <c:pt idx="103">
                  <c:v>50</c:v>
                </c:pt>
                <c:pt idx="104">
                  <c:v>50</c:v>
                </c:pt>
                <c:pt idx="105">
                  <c:v>53.33</c:v>
                </c:pt>
                <c:pt idx="106">
                  <c:v>57.5</c:v>
                </c:pt>
                <c:pt idx="107">
                  <c:v>50</c:v>
                </c:pt>
                <c:pt idx="108">
                  <c:v>50</c:v>
                </c:pt>
                <c:pt idx="109">
                  <c:v>50</c:v>
                </c:pt>
                <c:pt idx="110">
                  <c:v>48.02</c:v>
                </c:pt>
                <c:pt idx="111">
                  <c:v>50</c:v>
                </c:pt>
                <c:pt idx="112">
                  <c:v>53.33</c:v>
                </c:pt>
                <c:pt idx="113">
                  <c:v>57.5</c:v>
                </c:pt>
                <c:pt idx="114">
                  <c:v>53.33</c:v>
                </c:pt>
                <c:pt idx="115">
                  <c:v>57.5</c:v>
                </c:pt>
                <c:pt idx="116">
                  <c:v>53.33</c:v>
                </c:pt>
                <c:pt idx="117">
                  <c:v>48.02</c:v>
                </c:pt>
                <c:pt idx="118">
                  <c:v>48.02</c:v>
                </c:pt>
                <c:pt idx="119">
                  <c:v>46.08</c:v>
                </c:pt>
                <c:pt idx="120">
                  <c:v>46.08</c:v>
                </c:pt>
                <c:pt idx="121">
                  <c:v>48.02</c:v>
                </c:pt>
                <c:pt idx="122">
                  <c:v>46.08</c:v>
                </c:pt>
                <c:pt idx="123">
                  <c:v>48.02</c:v>
                </c:pt>
                <c:pt idx="124">
                  <c:v>50</c:v>
                </c:pt>
                <c:pt idx="125">
                  <c:v>48.02</c:v>
                </c:pt>
                <c:pt idx="126">
                  <c:v>48.02</c:v>
                </c:pt>
                <c:pt idx="127">
                  <c:v>50</c:v>
                </c:pt>
                <c:pt idx="128">
                  <c:v>53.33</c:v>
                </c:pt>
                <c:pt idx="129">
                  <c:v>53.33</c:v>
                </c:pt>
                <c:pt idx="130">
                  <c:v>53.33</c:v>
                </c:pt>
                <c:pt idx="131">
                  <c:v>50</c:v>
                </c:pt>
                <c:pt idx="132">
                  <c:v>46.08</c:v>
                </c:pt>
                <c:pt idx="133">
                  <c:v>48.02</c:v>
                </c:pt>
                <c:pt idx="134">
                  <c:v>48.02</c:v>
                </c:pt>
                <c:pt idx="135">
                  <c:v>46.08</c:v>
                </c:pt>
                <c:pt idx="136">
                  <c:v>48.02</c:v>
                </c:pt>
                <c:pt idx="137">
                  <c:v>48.02</c:v>
                </c:pt>
                <c:pt idx="138">
                  <c:v>48.02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53.33</c:v>
                </c:pt>
                <c:pt idx="144">
                  <c:v>57.5</c:v>
                </c:pt>
                <c:pt idx="145">
                  <c:v>61.67</c:v>
                </c:pt>
                <c:pt idx="146">
                  <c:v>61.67</c:v>
                </c:pt>
                <c:pt idx="147">
                  <c:v>65.83</c:v>
                </c:pt>
                <c:pt idx="148">
                  <c:v>70</c:v>
                </c:pt>
                <c:pt idx="149">
                  <c:v>70</c:v>
                </c:pt>
                <c:pt idx="150">
                  <c:v>70</c:v>
                </c:pt>
                <c:pt idx="151">
                  <c:v>65.83</c:v>
                </c:pt>
                <c:pt idx="152">
                  <c:v>61.67</c:v>
                </c:pt>
                <c:pt idx="153">
                  <c:v>61.67</c:v>
                </c:pt>
                <c:pt idx="154">
                  <c:v>65.83</c:v>
                </c:pt>
                <c:pt idx="155">
                  <c:v>65.83</c:v>
                </c:pt>
                <c:pt idx="156">
                  <c:v>70</c:v>
                </c:pt>
                <c:pt idx="157">
                  <c:v>74.17</c:v>
                </c:pt>
                <c:pt idx="158">
                  <c:v>74.17</c:v>
                </c:pt>
                <c:pt idx="159">
                  <c:v>78.33</c:v>
                </c:pt>
                <c:pt idx="160">
                  <c:v>74.17</c:v>
                </c:pt>
                <c:pt idx="161">
                  <c:v>74.17</c:v>
                </c:pt>
                <c:pt idx="162">
                  <c:v>74.17</c:v>
                </c:pt>
                <c:pt idx="163">
                  <c:v>70</c:v>
                </c:pt>
                <c:pt idx="164">
                  <c:v>74.17</c:v>
                </c:pt>
                <c:pt idx="165">
                  <c:v>74.17</c:v>
                </c:pt>
                <c:pt idx="166">
                  <c:v>74.17</c:v>
                </c:pt>
                <c:pt idx="167">
                  <c:v>78.33</c:v>
                </c:pt>
                <c:pt idx="168">
                  <c:v>80.83</c:v>
                </c:pt>
                <c:pt idx="169">
                  <c:v>81.67</c:v>
                </c:pt>
                <c:pt idx="170">
                  <c:v>80.83</c:v>
                </c:pt>
                <c:pt idx="171">
                  <c:v>81.67</c:v>
                </c:pt>
                <c:pt idx="172">
                  <c:v>82.5</c:v>
                </c:pt>
                <c:pt idx="173">
                  <c:v>82.5</c:v>
                </c:pt>
                <c:pt idx="174">
                  <c:v>80.83</c:v>
                </c:pt>
                <c:pt idx="175">
                  <c:v>81.67</c:v>
                </c:pt>
                <c:pt idx="176">
                  <c:v>80.83</c:v>
                </c:pt>
                <c:pt idx="177">
                  <c:v>81.67</c:v>
                </c:pt>
                <c:pt idx="178">
                  <c:v>81.67</c:v>
                </c:pt>
                <c:pt idx="179">
                  <c:v>82.5</c:v>
                </c:pt>
                <c:pt idx="180">
                  <c:v>80.83</c:v>
                </c:pt>
                <c:pt idx="181">
                  <c:v>80.83</c:v>
                </c:pt>
                <c:pt idx="182">
                  <c:v>80.83</c:v>
                </c:pt>
                <c:pt idx="183">
                  <c:v>80.83</c:v>
                </c:pt>
                <c:pt idx="184">
                  <c:v>81.67</c:v>
                </c:pt>
                <c:pt idx="185">
                  <c:v>80.83</c:v>
                </c:pt>
                <c:pt idx="186">
                  <c:v>80.83</c:v>
                </c:pt>
                <c:pt idx="187">
                  <c:v>80.83</c:v>
                </c:pt>
                <c:pt idx="188">
                  <c:v>80.83</c:v>
                </c:pt>
                <c:pt idx="189">
                  <c:v>80.83</c:v>
                </c:pt>
                <c:pt idx="190">
                  <c:v>80.83</c:v>
                </c:pt>
                <c:pt idx="191">
                  <c:v>78.33</c:v>
                </c:pt>
                <c:pt idx="192">
                  <c:v>80.83</c:v>
                </c:pt>
                <c:pt idx="193">
                  <c:v>81.67</c:v>
                </c:pt>
                <c:pt idx="194">
                  <c:v>82.5</c:v>
                </c:pt>
                <c:pt idx="195">
                  <c:v>83.33</c:v>
                </c:pt>
                <c:pt idx="196">
                  <c:v>83.33</c:v>
                </c:pt>
                <c:pt idx="197">
                  <c:v>82.5</c:v>
                </c:pt>
                <c:pt idx="198">
                  <c:v>83.33</c:v>
                </c:pt>
                <c:pt idx="199">
                  <c:v>84.17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46B-4776-BB52-2A2F477C6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754448"/>
        <c:axId val="132744848"/>
      </c:lineChart>
      <c:catAx>
        <c:axId val="13275444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2744848"/>
        <c:crosses val="autoZero"/>
        <c:auto val="1"/>
        <c:lblAlgn val="ctr"/>
        <c:lblOffset val="100"/>
        <c:noMultiLvlLbl val="0"/>
      </c:catAx>
      <c:valAx>
        <c:axId val="13274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275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341492</xdr:colOff>
      <xdr:row>2</xdr:row>
      <xdr:rowOff>5411</xdr:rowOff>
    </xdr:from>
    <xdr:to>
      <xdr:col>13</xdr:col>
      <xdr:colOff>180646</xdr:colOff>
      <xdr:row>31</xdr:row>
      <xdr:rowOff>127947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F95AD8D-B9B1-B900-3A02-A7F7A2748E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7A34E7F2-EA20-40B9-9B74-935DB6953CF3}" autoFormatId="16" applyNumberFormats="0" applyBorderFormats="0" applyFontFormats="0" applyPatternFormats="0" applyAlignmentFormats="0" applyWidthHeightFormats="0">
  <queryTableRefresh nextId="10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561A79-BE08-4827-A6A6-069562793E25}" name="parkhaus_sim_log" displayName="parkhaus_sim_log" ref="A1:F201" tableType="queryTable" totalsRowShown="0" dataDxfId="6">
  <autoFilter ref="A1:F201" xr:uid="{6F561A79-BE08-4827-A6A6-069562793E25}"/>
  <tableColumns count="6">
    <tableColumn id="1" xr3:uid="{499BB79A-3F74-4C92-A8D9-99F66B60F7F2}" uniqueName="1" name="Timestamp" queryTableFieldId="1" dataDxfId="5"/>
    <tableColumn id="2" xr3:uid="{35F05B6C-D7F7-41A7-AACC-395B96050F1F}" uniqueName="2" name="Occupancy rate" queryTableFieldId="2" dataDxfId="4"/>
    <tableColumn id="3" xr3:uid="{80B0851D-AAC9-489D-A08C-D1829DC60103}" uniqueName="3" name="Cars waiting" queryTableFieldId="3" dataDxfId="3"/>
    <tableColumn id="4" xr3:uid="{00BF4AFF-FB7D-49A5-854B-1587368FBA1A}" uniqueName="4" name="Max wait time" queryTableFieldId="4" dataDxfId="2"/>
    <tableColumn id="5" xr3:uid="{C05287E4-82E2-40B7-946A-101114A5478A}" uniqueName="5" name="Avg wait time" queryTableFieldId="5" dataDxfId="1"/>
    <tableColumn id="6" xr3:uid="{550ABEBB-E6B7-4D4F-ABA4-1CF674C99149}" uniqueName="6" name="Stress scor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457E3-7483-4F27-B928-E17AA79BD017}">
  <dimension ref="A1:K202"/>
  <sheetViews>
    <sheetView tabSelected="1" zoomScale="58" zoomScaleNormal="113" workbookViewId="0">
      <selection activeCell="O20" sqref="O20"/>
    </sheetView>
  </sheetViews>
  <sheetFormatPr baseColWidth="10" defaultRowHeight="14.25" x14ac:dyDescent="0.45"/>
  <cols>
    <col min="1" max="1" width="17.73046875" style="3" bestFit="1" customWidth="1"/>
    <col min="2" max="2" width="18.59765625" bestFit="1" customWidth="1"/>
    <col min="3" max="3" width="11.73046875" bestFit="1" customWidth="1"/>
    <col min="4" max="4" width="16.3984375" style="2" bestFit="1" customWidth="1"/>
    <col min="5" max="5" width="10.86328125" bestFit="1" customWidth="1"/>
    <col min="6" max="6" width="10.265625" bestFit="1" customWidth="1"/>
    <col min="7" max="7" width="21.73046875" customWidth="1"/>
    <col min="8" max="8" width="20.73046875" customWidth="1"/>
    <col min="9" max="9" width="16.06640625" customWidth="1"/>
    <col min="10" max="10" width="17.6640625" customWidth="1"/>
  </cols>
  <sheetData>
    <row r="1" spans="1:11" x14ac:dyDescent="0.45">
      <c r="A1" s="3" t="s">
        <v>5</v>
      </c>
      <c r="B1" t="s">
        <v>6</v>
      </c>
      <c r="C1" t="s">
        <v>7</v>
      </c>
      <c r="D1" s="2" t="s">
        <v>8</v>
      </c>
      <c r="E1" t="s">
        <v>9</v>
      </c>
      <c r="F1" t="s">
        <v>10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</row>
    <row r="2" spans="1:11" x14ac:dyDescent="0.45">
      <c r="A2" s="3">
        <f ca="1">parkhaus_sim_log[[#This Row],[Timestamp]]*1</f>
        <v>0</v>
      </c>
      <c r="B2" s="2">
        <v>2</v>
      </c>
      <c r="C2" s="2">
        <f ca="1">parkhaus_sim_log[[#This Row],[Cars waiting]]*1</f>
        <v>0</v>
      </c>
      <c r="D2">
        <f ca="1">1*parkhaus_sim_log[[#This Row],[Max wait time]]</f>
        <v>0</v>
      </c>
      <c r="E2" s="2">
        <v>0</v>
      </c>
      <c r="F2" s="2">
        <v>0.02</v>
      </c>
    </row>
    <row r="3" spans="1:11" x14ac:dyDescent="0.45">
      <c r="A3" s="3">
        <f ca="1">parkhaus_sim_log[[#This Row],[Timestamp]]*1</f>
        <v>1</v>
      </c>
      <c r="B3" s="2">
        <v>4</v>
      </c>
      <c r="C3" s="2">
        <f ca="1">parkhaus_sim_log[[#This Row],[Cars waiting]]*1</f>
        <v>0</v>
      </c>
      <c r="D3">
        <f ca="1">1*parkhaus_sim_log[[#This Row],[Max wait time]]</f>
        <v>0</v>
      </c>
      <c r="E3" s="2">
        <v>0</v>
      </c>
      <c r="F3" s="2">
        <v>0.08</v>
      </c>
    </row>
    <row r="4" spans="1:11" x14ac:dyDescent="0.45">
      <c r="A4" s="3">
        <f ca="1">parkhaus_sim_log[[#This Row],[Timestamp]]*1</f>
        <v>2</v>
      </c>
      <c r="B4" s="2">
        <v>6</v>
      </c>
      <c r="C4" s="2">
        <f ca="1">parkhaus_sim_log[[#This Row],[Cars waiting]]*1</f>
        <v>0</v>
      </c>
      <c r="D4">
        <f ca="1">1*parkhaus_sim_log[[#This Row],[Max wait time]]</f>
        <v>0</v>
      </c>
      <c r="E4" s="2">
        <v>0</v>
      </c>
      <c r="F4" s="2">
        <v>0.18</v>
      </c>
    </row>
    <row r="5" spans="1:11" x14ac:dyDescent="0.45">
      <c r="A5" s="3">
        <f ca="1">parkhaus_sim_log[[#This Row],[Timestamp]]*1</f>
        <v>3</v>
      </c>
      <c r="B5" s="2">
        <v>8</v>
      </c>
      <c r="C5" s="2">
        <f ca="1">parkhaus_sim_log[[#This Row],[Cars waiting]]*1</f>
        <v>0</v>
      </c>
      <c r="D5">
        <f ca="1">1*parkhaus_sim_log[[#This Row],[Max wait time]]</f>
        <v>0</v>
      </c>
      <c r="E5" s="2">
        <v>0</v>
      </c>
      <c r="F5" s="2">
        <v>0.32</v>
      </c>
    </row>
    <row r="6" spans="1:11" x14ac:dyDescent="0.45">
      <c r="A6" s="3">
        <f ca="1">parkhaus_sim_log[[#This Row],[Timestamp]]*1</f>
        <v>4</v>
      </c>
      <c r="B6" s="2">
        <v>10</v>
      </c>
      <c r="C6" s="2">
        <f ca="1">parkhaus_sim_log[[#This Row],[Cars waiting]]*1</f>
        <v>0</v>
      </c>
      <c r="D6">
        <f ca="1">1*parkhaus_sim_log[[#This Row],[Max wait time]]</f>
        <v>0</v>
      </c>
      <c r="E6" s="2">
        <v>0</v>
      </c>
      <c r="F6" s="2">
        <v>0.5</v>
      </c>
    </row>
    <row r="7" spans="1:11" x14ac:dyDescent="0.45">
      <c r="A7" s="3">
        <f ca="1">parkhaus_sim_log[[#This Row],[Timestamp]]*1</f>
        <v>5</v>
      </c>
      <c r="B7" s="2">
        <v>12</v>
      </c>
      <c r="C7" s="2">
        <f ca="1">parkhaus_sim_log[[#This Row],[Cars waiting]]*1</f>
        <v>0</v>
      </c>
      <c r="D7">
        <f ca="1">1*parkhaus_sim_log[[#This Row],[Max wait time]]</f>
        <v>0</v>
      </c>
      <c r="E7" s="2">
        <v>0</v>
      </c>
      <c r="F7" s="2">
        <v>0.72</v>
      </c>
    </row>
    <row r="8" spans="1:11" x14ac:dyDescent="0.45">
      <c r="A8" s="3">
        <f ca="1">parkhaus_sim_log[[#This Row],[Timestamp]]*1</f>
        <v>6</v>
      </c>
      <c r="B8" s="2">
        <v>12</v>
      </c>
      <c r="C8" s="2">
        <f ca="1">parkhaus_sim_log[[#This Row],[Cars waiting]]*1</f>
        <v>0</v>
      </c>
      <c r="D8">
        <f ca="1">1*parkhaus_sim_log[[#This Row],[Max wait time]]</f>
        <v>0</v>
      </c>
      <c r="E8" s="2">
        <v>0</v>
      </c>
      <c r="F8" s="2">
        <v>0.72</v>
      </c>
    </row>
    <row r="9" spans="1:11" x14ac:dyDescent="0.45">
      <c r="A9" s="3">
        <f ca="1">parkhaus_sim_log[[#This Row],[Timestamp]]*1</f>
        <v>7</v>
      </c>
      <c r="B9" s="2">
        <v>14</v>
      </c>
      <c r="C9" s="2">
        <f ca="1">parkhaus_sim_log[[#This Row],[Cars waiting]]*1</f>
        <v>0</v>
      </c>
      <c r="D9">
        <f ca="1">1*parkhaus_sim_log[[#This Row],[Max wait time]]</f>
        <v>0</v>
      </c>
      <c r="E9" s="2">
        <v>0</v>
      </c>
      <c r="F9" s="2">
        <v>0.98</v>
      </c>
    </row>
    <row r="10" spans="1:11" x14ac:dyDescent="0.45">
      <c r="A10" s="3">
        <f ca="1">parkhaus_sim_log[[#This Row],[Timestamp]]*1</f>
        <v>8</v>
      </c>
      <c r="B10" s="2">
        <v>16</v>
      </c>
      <c r="C10" s="2">
        <f ca="1">parkhaus_sim_log[[#This Row],[Cars waiting]]*1</f>
        <v>0</v>
      </c>
      <c r="D10">
        <f ca="1">1*parkhaus_sim_log[[#This Row],[Max wait time]]</f>
        <v>0</v>
      </c>
      <c r="E10" s="2">
        <v>0</v>
      </c>
      <c r="F10" s="2">
        <v>1.28</v>
      </c>
    </row>
    <row r="11" spans="1:11" x14ac:dyDescent="0.45">
      <c r="A11" s="3">
        <f ca="1">parkhaus_sim_log[[#This Row],[Timestamp]]*1</f>
        <v>9</v>
      </c>
      <c r="B11" s="2">
        <v>18</v>
      </c>
      <c r="C11" s="2">
        <f ca="1">parkhaus_sim_log[[#This Row],[Cars waiting]]*1</f>
        <v>0</v>
      </c>
      <c r="D11">
        <f ca="1">1*parkhaus_sim_log[[#This Row],[Max wait time]]</f>
        <v>0</v>
      </c>
      <c r="E11" s="2">
        <v>0</v>
      </c>
      <c r="F11" s="2">
        <v>1.62</v>
      </c>
    </row>
    <row r="12" spans="1:11" x14ac:dyDescent="0.45">
      <c r="A12" s="3">
        <f ca="1">parkhaus_sim_log[[#This Row],[Timestamp]]*1</f>
        <v>10</v>
      </c>
      <c r="B12" s="2">
        <v>20</v>
      </c>
      <c r="C12" s="2">
        <f ca="1">parkhaus_sim_log[[#This Row],[Cars waiting]]*1</f>
        <v>0</v>
      </c>
      <c r="D12">
        <f ca="1">1*parkhaus_sim_log[[#This Row],[Max wait time]]</f>
        <v>0</v>
      </c>
      <c r="E12" s="2">
        <v>0</v>
      </c>
      <c r="F12" s="2">
        <v>2</v>
      </c>
    </row>
    <row r="13" spans="1:11" x14ac:dyDescent="0.45">
      <c r="A13" s="3">
        <f ca="1">parkhaus_sim_log[[#This Row],[Timestamp]]*1</f>
        <v>11</v>
      </c>
      <c r="B13" s="2">
        <v>22</v>
      </c>
      <c r="C13" s="2">
        <f ca="1">parkhaus_sim_log[[#This Row],[Cars waiting]]*1</f>
        <v>0</v>
      </c>
      <c r="D13">
        <f ca="1">1*parkhaus_sim_log[[#This Row],[Max wait time]]</f>
        <v>0</v>
      </c>
      <c r="E13" s="2">
        <v>0</v>
      </c>
      <c r="F13" s="2">
        <v>2.42</v>
      </c>
    </row>
    <row r="14" spans="1:11" x14ac:dyDescent="0.45">
      <c r="A14" s="3">
        <f ca="1">parkhaus_sim_log[[#This Row],[Timestamp]]*1</f>
        <v>12</v>
      </c>
      <c r="B14" s="2">
        <v>24</v>
      </c>
      <c r="C14" s="2">
        <f ca="1">parkhaus_sim_log[[#This Row],[Cars waiting]]*1</f>
        <v>0</v>
      </c>
      <c r="D14">
        <f ca="1">1*parkhaus_sim_log[[#This Row],[Max wait time]]</f>
        <v>0</v>
      </c>
      <c r="E14" s="2">
        <v>0</v>
      </c>
      <c r="F14" s="2">
        <v>2.88</v>
      </c>
    </row>
    <row r="15" spans="1:11" x14ac:dyDescent="0.45">
      <c r="A15" s="3">
        <f ca="1">parkhaus_sim_log[[#This Row],[Timestamp]]*1</f>
        <v>13</v>
      </c>
      <c r="B15" s="2">
        <v>26</v>
      </c>
      <c r="C15" s="2">
        <f ca="1">parkhaus_sim_log[[#This Row],[Cars waiting]]*1</f>
        <v>0</v>
      </c>
      <c r="D15">
        <f ca="1">1*parkhaus_sim_log[[#This Row],[Max wait time]]</f>
        <v>0</v>
      </c>
      <c r="E15" s="2">
        <v>0</v>
      </c>
      <c r="F15" s="2">
        <v>3.38</v>
      </c>
    </row>
    <row r="16" spans="1:11" x14ac:dyDescent="0.45">
      <c r="A16" s="3">
        <f ca="1">parkhaus_sim_log[[#This Row],[Timestamp]]*1</f>
        <v>14</v>
      </c>
      <c r="B16" s="2">
        <v>28</v>
      </c>
      <c r="C16" s="2">
        <f ca="1">parkhaus_sim_log[[#This Row],[Cars waiting]]*1</f>
        <v>0</v>
      </c>
      <c r="D16">
        <f ca="1">1*parkhaus_sim_log[[#This Row],[Max wait time]]</f>
        <v>0</v>
      </c>
      <c r="E16" s="2">
        <v>0</v>
      </c>
      <c r="F16" s="2">
        <v>3.92</v>
      </c>
    </row>
    <row r="17" spans="1:6" x14ac:dyDescent="0.45">
      <c r="A17" s="3">
        <f ca="1">parkhaus_sim_log[[#This Row],[Timestamp]]*1</f>
        <v>15</v>
      </c>
      <c r="B17" s="2">
        <v>28</v>
      </c>
      <c r="C17" s="2">
        <f ca="1">parkhaus_sim_log[[#This Row],[Cars waiting]]*1</f>
        <v>0</v>
      </c>
      <c r="D17">
        <f ca="1">1*parkhaus_sim_log[[#This Row],[Max wait time]]</f>
        <v>0</v>
      </c>
      <c r="E17" s="2">
        <v>0</v>
      </c>
      <c r="F17" s="2">
        <v>3.92</v>
      </c>
    </row>
    <row r="18" spans="1:6" x14ac:dyDescent="0.45">
      <c r="A18" s="3">
        <f ca="1">parkhaus_sim_log[[#This Row],[Timestamp]]*1</f>
        <v>16</v>
      </c>
      <c r="B18" s="2">
        <v>30</v>
      </c>
      <c r="C18" s="2">
        <f ca="1">parkhaus_sim_log[[#This Row],[Cars waiting]]*1</f>
        <v>0</v>
      </c>
      <c r="D18">
        <f ca="1">1*parkhaus_sim_log[[#This Row],[Max wait time]]</f>
        <v>0</v>
      </c>
      <c r="E18" s="2">
        <v>0</v>
      </c>
      <c r="F18" s="2">
        <v>4.5</v>
      </c>
    </row>
    <row r="19" spans="1:6" x14ac:dyDescent="0.45">
      <c r="A19" s="3">
        <f ca="1">parkhaus_sim_log[[#This Row],[Timestamp]]*1</f>
        <v>17</v>
      </c>
      <c r="B19" s="2">
        <v>32</v>
      </c>
      <c r="C19" s="2">
        <f ca="1">parkhaus_sim_log[[#This Row],[Cars waiting]]*1</f>
        <v>0</v>
      </c>
      <c r="D19">
        <f ca="1">1*parkhaus_sim_log[[#This Row],[Max wait time]]</f>
        <v>0</v>
      </c>
      <c r="E19" s="2">
        <v>0</v>
      </c>
      <c r="F19" s="2">
        <v>5.12</v>
      </c>
    </row>
    <row r="20" spans="1:6" x14ac:dyDescent="0.45">
      <c r="A20" s="3">
        <f ca="1">parkhaus_sim_log[[#This Row],[Timestamp]]*1</f>
        <v>18</v>
      </c>
      <c r="B20" s="2">
        <v>34</v>
      </c>
      <c r="C20" s="2">
        <f ca="1">parkhaus_sim_log[[#This Row],[Cars waiting]]*1</f>
        <v>0</v>
      </c>
      <c r="D20">
        <f ca="1">1*parkhaus_sim_log[[#This Row],[Max wait time]]</f>
        <v>0</v>
      </c>
      <c r="E20" s="2">
        <v>0</v>
      </c>
      <c r="F20" s="2">
        <v>5.78</v>
      </c>
    </row>
    <row r="21" spans="1:6" x14ac:dyDescent="0.45">
      <c r="A21" s="3">
        <f ca="1">parkhaus_sim_log[[#This Row],[Timestamp]]*1</f>
        <v>19</v>
      </c>
      <c r="B21" s="2">
        <v>36</v>
      </c>
      <c r="C21" s="2">
        <f ca="1">parkhaus_sim_log[[#This Row],[Cars waiting]]*1</f>
        <v>0</v>
      </c>
      <c r="D21">
        <f ca="1">1*parkhaus_sim_log[[#This Row],[Max wait time]]</f>
        <v>0</v>
      </c>
      <c r="E21" s="2">
        <v>0</v>
      </c>
      <c r="F21" s="2">
        <v>6.48</v>
      </c>
    </row>
    <row r="22" spans="1:6" x14ac:dyDescent="0.45">
      <c r="A22" s="3">
        <f ca="1">parkhaus_sim_log[[#This Row],[Timestamp]]*1</f>
        <v>20</v>
      </c>
      <c r="B22" s="2">
        <v>38</v>
      </c>
      <c r="C22" s="2">
        <f ca="1">parkhaus_sim_log[[#This Row],[Cars waiting]]*1</f>
        <v>0</v>
      </c>
      <c r="D22">
        <f ca="1">1*parkhaus_sim_log[[#This Row],[Max wait time]]</f>
        <v>0</v>
      </c>
      <c r="E22" s="2">
        <v>0</v>
      </c>
      <c r="F22" s="2">
        <v>7.22</v>
      </c>
    </row>
    <row r="23" spans="1:6" x14ac:dyDescent="0.45">
      <c r="A23" s="3">
        <f ca="1">parkhaus_sim_log[[#This Row],[Timestamp]]*1</f>
        <v>21</v>
      </c>
      <c r="B23" s="2">
        <v>40</v>
      </c>
      <c r="C23" s="2">
        <f ca="1">parkhaus_sim_log[[#This Row],[Cars waiting]]*1</f>
        <v>0</v>
      </c>
      <c r="D23">
        <f ca="1">1*parkhaus_sim_log[[#This Row],[Max wait time]]</f>
        <v>0</v>
      </c>
      <c r="E23" s="2">
        <v>0</v>
      </c>
      <c r="F23" s="2">
        <v>8</v>
      </c>
    </row>
    <row r="24" spans="1:6" x14ac:dyDescent="0.45">
      <c r="A24" s="3">
        <f ca="1">parkhaus_sim_log[[#This Row],[Timestamp]]*1</f>
        <v>22</v>
      </c>
      <c r="B24" s="2">
        <v>42</v>
      </c>
      <c r="C24" s="2">
        <f ca="1">parkhaus_sim_log[[#This Row],[Cars waiting]]*1</f>
        <v>0</v>
      </c>
      <c r="D24">
        <f ca="1">1*parkhaus_sim_log[[#This Row],[Max wait time]]</f>
        <v>0</v>
      </c>
      <c r="E24" s="2">
        <v>0</v>
      </c>
      <c r="F24" s="2">
        <v>8.82</v>
      </c>
    </row>
    <row r="25" spans="1:6" x14ac:dyDescent="0.45">
      <c r="A25" s="3">
        <f ca="1">parkhaus_sim_log[[#This Row],[Timestamp]]*1</f>
        <v>23</v>
      </c>
      <c r="B25" s="2">
        <v>44</v>
      </c>
      <c r="C25" s="2">
        <f ca="1">parkhaus_sim_log[[#This Row],[Cars waiting]]*1</f>
        <v>0</v>
      </c>
      <c r="D25">
        <f ca="1">1*parkhaus_sim_log[[#This Row],[Max wait time]]</f>
        <v>0</v>
      </c>
      <c r="E25" s="2">
        <v>0</v>
      </c>
      <c r="F25" s="2">
        <v>9.68</v>
      </c>
    </row>
    <row r="26" spans="1:6" x14ac:dyDescent="0.45">
      <c r="A26" s="3">
        <f ca="1">parkhaus_sim_log[[#This Row],[Timestamp]]*1</f>
        <v>24</v>
      </c>
      <c r="B26" s="2">
        <v>46</v>
      </c>
      <c r="C26" s="2">
        <f ca="1">parkhaus_sim_log[[#This Row],[Cars waiting]]*1</f>
        <v>0</v>
      </c>
      <c r="D26">
        <f ca="1">1*parkhaus_sim_log[[#This Row],[Max wait time]]</f>
        <v>0</v>
      </c>
      <c r="E26" s="2">
        <v>0</v>
      </c>
      <c r="F26" s="2">
        <v>10.58</v>
      </c>
    </row>
    <row r="27" spans="1:6" x14ac:dyDescent="0.45">
      <c r="A27" s="3">
        <f ca="1">parkhaus_sim_log[[#This Row],[Timestamp]]*1</f>
        <v>25</v>
      </c>
      <c r="B27" s="2">
        <v>48</v>
      </c>
      <c r="C27" s="2">
        <f ca="1">parkhaus_sim_log[[#This Row],[Cars waiting]]*1</f>
        <v>0</v>
      </c>
      <c r="D27">
        <f ca="1">1*parkhaus_sim_log[[#This Row],[Max wait time]]</f>
        <v>0</v>
      </c>
      <c r="E27" s="2">
        <v>0</v>
      </c>
      <c r="F27" s="2">
        <v>11.52</v>
      </c>
    </row>
    <row r="28" spans="1:6" x14ac:dyDescent="0.45">
      <c r="A28" s="3">
        <f ca="1">parkhaus_sim_log[[#This Row],[Timestamp]]*1</f>
        <v>26</v>
      </c>
      <c r="B28" s="2">
        <v>50</v>
      </c>
      <c r="C28" s="2">
        <f ca="1">parkhaus_sim_log[[#This Row],[Cars waiting]]*1</f>
        <v>0</v>
      </c>
      <c r="D28">
        <f ca="1">1*parkhaus_sim_log[[#This Row],[Max wait time]]</f>
        <v>0</v>
      </c>
      <c r="E28" s="2">
        <v>0</v>
      </c>
      <c r="F28" s="2">
        <v>12.5</v>
      </c>
    </row>
    <row r="29" spans="1:6" x14ac:dyDescent="0.45">
      <c r="A29" s="3">
        <f ca="1">parkhaus_sim_log[[#This Row],[Timestamp]]*1</f>
        <v>27</v>
      </c>
      <c r="B29" s="2">
        <v>50</v>
      </c>
      <c r="C29" s="2">
        <f ca="1">parkhaus_sim_log[[#This Row],[Cars waiting]]*1</f>
        <v>0</v>
      </c>
      <c r="D29">
        <f ca="1">1*parkhaus_sim_log[[#This Row],[Max wait time]]</f>
        <v>0</v>
      </c>
      <c r="E29" s="2">
        <v>0</v>
      </c>
      <c r="F29" s="2">
        <v>12.5</v>
      </c>
    </row>
    <row r="30" spans="1:6" x14ac:dyDescent="0.45">
      <c r="A30" s="3">
        <f ca="1">parkhaus_sim_log[[#This Row],[Timestamp]]*1</f>
        <v>28</v>
      </c>
      <c r="B30" s="2">
        <v>52</v>
      </c>
      <c r="C30" s="2">
        <f ca="1">parkhaus_sim_log[[#This Row],[Cars waiting]]*1</f>
        <v>0</v>
      </c>
      <c r="D30">
        <f ca="1">1*parkhaus_sim_log[[#This Row],[Max wait time]]</f>
        <v>0</v>
      </c>
      <c r="E30" s="2">
        <v>0</v>
      </c>
      <c r="F30" s="2">
        <v>13.52</v>
      </c>
    </row>
    <row r="31" spans="1:6" x14ac:dyDescent="0.45">
      <c r="A31" s="3">
        <f ca="1">parkhaus_sim_log[[#This Row],[Timestamp]]*1</f>
        <v>29</v>
      </c>
      <c r="B31" s="2">
        <v>54</v>
      </c>
      <c r="C31" s="2">
        <f ca="1">parkhaus_sim_log[[#This Row],[Cars waiting]]*1</f>
        <v>0</v>
      </c>
      <c r="D31">
        <f ca="1">1*parkhaus_sim_log[[#This Row],[Max wait time]]</f>
        <v>0</v>
      </c>
      <c r="E31" s="2">
        <v>0</v>
      </c>
      <c r="F31" s="2">
        <v>14.58</v>
      </c>
    </row>
    <row r="32" spans="1:6" x14ac:dyDescent="0.45">
      <c r="A32" s="3">
        <f ca="1">parkhaus_sim_log[[#This Row],[Timestamp]]*1</f>
        <v>30</v>
      </c>
      <c r="B32" s="2">
        <v>52</v>
      </c>
      <c r="C32" s="2">
        <f ca="1">parkhaus_sim_log[[#This Row],[Cars waiting]]*1</f>
        <v>0</v>
      </c>
      <c r="D32">
        <f ca="1">1*parkhaus_sim_log[[#This Row],[Max wait time]]</f>
        <v>0</v>
      </c>
      <c r="E32" s="2">
        <v>0</v>
      </c>
      <c r="F32" s="2">
        <v>13.52</v>
      </c>
    </row>
    <row r="33" spans="1:6" x14ac:dyDescent="0.45">
      <c r="A33" s="3">
        <f ca="1">parkhaus_sim_log[[#This Row],[Timestamp]]*1</f>
        <v>31</v>
      </c>
      <c r="B33" s="2">
        <v>54</v>
      </c>
      <c r="C33" s="2">
        <f ca="1">parkhaus_sim_log[[#This Row],[Cars waiting]]*1</f>
        <v>0</v>
      </c>
      <c r="D33">
        <f ca="1">1*parkhaus_sim_log[[#This Row],[Max wait time]]</f>
        <v>0</v>
      </c>
      <c r="E33" s="2">
        <v>0</v>
      </c>
      <c r="F33" s="2">
        <v>14.58</v>
      </c>
    </row>
    <row r="34" spans="1:6" x14ac:dyDescent="0.45">
      <c r="A34" s="3">
        <f ca="1">parkhaus_sim_log[[#This Row],[Timestamp]]*1</f>
        <v>32</v>
      </c>
      <c r="B34" s="2">
        <v>54</v>
      </c>
      <c r="C34" s="2">
        <f ca="1">parkhaus_sim_log[[#This Row],[Cars waiting]]*1</f>
        <v>0</v>
      </c>
      <c r="D34">
        <f ca="1">1*parkhaus_sim_log[[#This Row],[Max wait time]]</f>
        <v>0</v>
      </c>
      <c r="E34" s="2">
        <v>0</v>
      </c>
      <c r="F34" s="2">
        <v>14.58</v>
      </c>
    </row>
    <row r="35" spans="1:6" x14ac:dyDescent="0.45">
      <c r="A35" s="3">
        <f ca="1">parkhaus_sim_log[[#This Row],[Timestamp]]*1</f>
        <v>33</v>
      </c>
      <c r="B35" s="2">
        <v>56</v>
      </c>
      <c r="C35" s="2">
        <f ca="1">parkhaus_sim_log[[#This Row],[Cars waiting]]*1</f>
        <v>0</v>
      </c>
      <c r="D35">
        <f ca="1">1*parkhaus_sim_log[[#This Row],[Max wait time]]</f>
        <v>0</v>
      </c>
      <c r="E35" s="2">
        <v>0</v>
      </c>
      <c r="F35" s="2">
        <v>15.68</v>
      </c>
    </row>
    <row r="36" spans="1:6" x14ac:dyDescent="0.45">
      <c r="A36" s="3">
        <f ca="1">parkhaus_sim_log[[#This Row],[Timestamp]]*1</f>
        <v>34</v>
      </c>
      <c r="B36" s="2">
        <v>56</v>
      </c>
      <c r="C36" s="2">
        <f ca="1">parkhaus_sim_log[[#This Row],[Cars waiting]]*1</f>
        <v>0</v>
      </c>
      <c r="D36">
        <f ca="1">1*parkhaus_sim_log[[#This Row],[Max wait time]]</f>
        <v>0</v>
      </c>
      <c r="E36" s="2">
        <v>0</v>
      </c>
      <c r="F36" s="2">
        <v>15.68</v>
      </c>
    </row>
    <row r="37" spans="1:6" x14ac:dyDescent="0.45">
      <c r="A37" s="3">
        <f ca="1">parkhaus_sim_log[[#This Row],[Timestamp]]*1</f>
        <v>35</v>
      </c>
      <c r="B37" s="2">
        <v>56</v>
      </c>
      <c r="C37" s="2">
        <f ca="1">parkhaus_sim_log[[#This Row],[Cars waiting]]*1</f>
        <v>0</v>
      </c>
      <c r="D37">
        <f ca="1">1*parkhaus_sim_log[[#This Row],[Max wait time]]</f>
        <v>0</v>
      </c>
      <c r="E37" s="2">
        <v>0</v>
      </c>
      <c r="F37" s="2">
        <v>15.68</v>
      </c>
    </row>
    <row r="38" spans="1:6" x14ac:dyDescent="0.45">
      <c r="A38" s="3">
        <f ca="1">parkhaus_sim_log[[#This Row],[Timestamp]]*1</f>
        <v>36</v>
      </c>
      <c r="B38" s="2">
        <v>58</v>
      </c>
      <c r="C38" s="2">
        <f ca="1">parkhaus_sim_log[[#This Row],[Cars waiting]]*1</f>
        <v>0</v>
      </c>
      <c r="D38">
        <f ca="1">1*parkhaus_sim_log[[#This Row],[Max wait time]]</f>
        <v>0</v>
      </c>
      <c r="E38" s="2">
        <v>0</v>
      </c>
      <c r="F38" s="2">
        <v>16.82</v>
      </c>
    </row>
    <row r="39" spans="1:6" x14ac:dyDescent="0.45">
      <c r="A39" s="3">
        <f ca="1">parkhaus_sim_log[[#This Row],[Timestamp]]*1</f>
        <v>37</v>
      </c>
      <c r="B39" s="2">
        <v>60</v>
      </c>
      <c r="C39" s="2">
        <f ca="1">parkhaus_sim_log[[#This Row],[Cars waiting]]*1</f>
        <v>0</v>
      </c>
      <c r="D39">
        <f ca="1">1*parkhaus_sim_log[[#This Row],[Max wait time]]</f>
        <v>0</v>
      </c>
      <c r="E39" s="2">
        <v>0</v>
      </c>
      <c r="F39" s="2">
        <v>18</v>
      </c>
    </row>
    <row r="40" spans="1:6" x14ac:dyDescent="0.45">
      <c r="A40" s="3">
        <f ca="1">parkhaus_sim_log[[#This Row],[Timestamp]]*1</f>
        <v>38</v>
      </c>
      <c r="B40" s="2">
        <v>62</v>
      </c>
      <c r="C40" s="2">
        <f ca="1">parkhaus_sim_log[[#This Row],[Cars waiting]]*1</f>
        <v>0</v>
      </c>
      <c r="D40">
        <f ca="1">1*parkhaus_sim_log[[#This Row],[Max wait time]]</f>
        <v>0</v>
      </c>
      <c r="E40" s="2">
        <v>0</v>
      </c>
      <c r="F40" s="2">
        <v>19.22</v>
      </c>
    </row>
    <row r="41" spans="1:6" x14ac:dyDescent="0.45">
      <c r="A41" s="3">
        <f ca="1">parkhaus_sim_log[[#This Row],[Timestamp]]*1</f>
        <v>39</v>
      </c>
      <c r="B41" s="2">
        <v>62</v>
      </c>
      <c r="C41" s="2">
        <f ca="1">parkhaus_sim_log[[#This Row],[Cars waiting]]*1</f>
        <v>0</v>
      </c>
      <c r="D41">
        <f ca="1">1*parkhaus_sim_log[[#This Row],[Max wait time]]</f>
        <v>0</v>
      </c>
      <c r="E41" s="2">
        <v>0</v>
      </c>
      <c r="F41" s="2">
        <v>19.22</v>
      </c>
    </row>
    <row r="42" spans="1:6" x14ac:dyDescent="0.45">
      <c r="A42" s="3">
        <f ca="1">parkhaus_sim_log[[#This Row],[Timestamp]]*1</f>
        <v>40</v>
      </c>
      <c r="B42" s="2">
        <v>64</v>
      </c>
      <c r="C42" s="2">
        <f ca="1">parkhaus_sim_log[[#This Row],[Cars waiting]]*1</f>
        <v>0</v>
      </c>
      <c r="D42">
        <f ca="1">1*parkhaus_sim_log[[#This Row],[Max wait time]]</f>
        <v>0</v>
      </c>
      <c r="E42" s="2">
        <v>0</v>
      </c>
      <c r="F42" s="2">
        <v>20.48</v>
      </c>
    </row>
    <row r="43" spans="1:6" x14ac:dyDescent="0.45">
      <c r="A43" s="3">
        <f ca="1">parkhaus_sim_log[[#This Row],[Timestamp]]*1</f>
        <v>41</v>
      </c>
      <c r="B43" s="2">
        <v>64</v>
      </c>
      <c r="C43" s="2">
        <f ca="1">parkhaus_sim_log[[#This Row],[Cars waiting]]*1</f>
        <v>0</v>
      </c>
      <c r="D43">
        <f ca="1">1*parkhaus_sim_log[[#This Row],[Max wait time]]</f>
        <v>0</v>
      </c>
      <c r="E43" s="2">
        <v>0</v>
      </c>
      <c r="F43" s="2">
        <v>20.48</v>
      </c>
    </row>
    <row r="44" spans="1:6" x14ac:dyDescent="0.45">
      <c r="A44" s="3">
        <f ca="1">parkhaus_sim_log[[#This Row],[Timestamp]]*1</f>
        <v>42</v>
      </c>
      <c r="B44" s="2">
        <v>64</v>
      </c>
      <c r="C44" s="2">
        <f ca="1">parkhaus_sim_log[[#This Row],[Cars waiting]]*1</f>
        <v>0</v>
      </c>
      <c r="D44">
        <f ca="1">1*parkhaus_sim_log[[#This Row],[Max wait time]]</f>
        <v>0</v>
      </c>
      <c r="E44" s="2">
        <v>0</v>
      </c>
      <c r="F44" s="2">
        <v>20.48</v>
      </c>
    </row>
    <row r="45" spans="1:6" x14ac:dyDescent="0.45">
      <c r="A45" s="3">
        <f ca="1">parkhaus_sim_log[[#This Row],[Timestamp]]*1</f>
        <v>43</v>
      </c>
      <c r="B45" s="2">
        <v>64</v>
      </c>
      <c r="C45" s="2">
        <f ca="1">parkhaus_sim_log[[#This Row],[Cars waiting]]*1</f>
        <v>0</v>
      </c>
      <c r="D45">
        <f ca="1">1*parkhaus_sim_log[[#This Row],[Max wait time]]</f>
        <v>0</v>
      </c>
      <c r="E45" s="2">
        <v>0</v>
      </c>
      <c r="F45" s="2">
        <v>20.48</v>
      </c>
    </row>
    <row r="46" spans="1:6" x14ac:dyDescent="0.45">
      <c r="A46" s="3">
        <f ca="1">parkhaus_sim_log[[#This Row],[Timestamp]]*1</f>
        <v>44</v>
      </c>
      <c r="B46" s="2">
        <v>66</v>
      </c>
      <c r="C46" s="2">
        <f ca="1">parkhaus_sim_log[[#This Row],[Cars waiting]]*1</f>
        <v>0</v>
      </c>
      <c r="D46">
        <f ca="1">1*parkhaus_sim_log[[#This Row],[Max wait time]]</f>
        <v>0</v>
      </c>
      <c r="E46" s="2">
        <v>0</v>
      </c>
      <c r="F46" s="2">
        <v>21.78</v>
      </c>
    </row>
    <row r="47" spans="1:6" x14ac:dyDescent="0.45">
      <c r="A47" s="3">
        <f ca="1">parkhaus_sim_log[[#This Row],[Timestamp]]*1</f>
        <v>45</v>
      </c>
      <c r="B47" s="2">
        <v>68</v>
      </c>
      <c r="C47" s="2">
        <f ca="1">parkhaus_sim_log[[#This Row],[Cars waiting]]*1</f>
        <v>0</v>
      </c>
      <c r="D47">
        <f ca="1">1*parkhaus_sim_log[[#This Row],[Max wait time]]</f>
        <v>0</v>
      </c>
      <c r="E47" s="2">
        <v>0</v>
      </c>
      <c r="F47" s="2">
        <v>23.12</v>
      </c>
    </row>
    <row r="48" spans="1:6" x14ac:dyDescent="0.45">
      <c r="A48" s="3">
        <f ca="1">parkhaus_sim_log[[#This Row],[Timestamp]]*1</f>
        <v>46</v>
      </c>
      <c r="B48" s="2">
        <v>68</v>
      </c>
      <c r="C48" s="2">
        <f ca="1">parkhaus_sim_log[[#This Row],[Cars waiting]]*1</f>
        <v>0</v>
      </c>
      <c r="D48">
        <f ca="1">1*parkhaus_sim_log[[#This Row],[Max wait time]]</f>
        <v>0</v>
      </c>
      <c r="E48" s="2">
        <v>0</v>
      </c>
      <c r="F48" s="2">
        <v>23.12</v>
      </c>
    </row>
    <row r="49" spans="1:6" x14ac:dyDescent="0.45">
      <c r="A49" s="3">
        <f ca="1">parkhaus_sim_log[[#This Row],[Timestamp]]*1</f>
        <v>47</v>
      </c>
      <c r="B49" s="2">
        <v>70</v>
      </c>
      <c r="C49" s="2">
        <f ca="1">parkhaus_sim_log[[#This Row],[Cars waiting]]*1</f>
        <v>0</v>
      </c>
      <c r="D49">
        <f ca="1">1*parkhaus_sim_log[[#This Row],[Max wait time]]</f>
        <v>0</v>
      </c>
      <c r="E49" s="2">
        <v>0</v>
      </c>
      <c r="F49" s="2">
        <v>24.5</v>
      </c>
    </row>
    <row r="50" spans="1:6" x14ac:dyDescent="0.45">
      <c r="A50" s="3">
        <f ca="1">parkhaus_sim_log[[#This Row],[Timestamp]]*1</f>
        <v>48</v>
      </c>
      <c r="B50" s="2">
        <v>72</v>
      </c>
      <c r="C50" s="2">
        <f ca="1">parkhaus_sim_log[[#This Row],[Cars waiting]]*1</f>
        <v>0</v>
      </c>
      <c r="D50">
        <f ca="1">1*parkhaus_sim_log[[#This Row],[Max wait time]]</f>
        <v>0</v>
      </c>
      <c r="E50" s="2">
        <v>0</v>
      </c>
      <c r="F50" s="2">
        <v>25.92</v>
      </c>
    </row>
    <row r="51" spans="1:6" x14ac:dyDescent="0.45">
      <c r="A51" s="3">
        <f ca="1">parkhaus_sim_log[[#This Row],[Timestamp]]*1</f>
        <v>49</v>
      </c>
      <c r="B51" s="2">
        <v>74</v>
      </c>
      <c r="C51" s="2">
        <f ca="1">parkhaus_sim_log[[#This Row],[Cars waiting]]*1</f>
        <v>0</v>
      </c>
      <c r="D51">
        <f ca="1">1*parkhaus_sim_log[[#This Row],[Max wait time]]</f>
        <v>0</v>
      </c>
      <c r="E51" s="2">
        <v>0</v>
      </c>
      <c r="F51" s="2">
        <v>27.38</v>
      </c>
    </row>
    <row r="52" spans="1:6" x14ac:dyDescent="0.45">
      <c r="A52" s="3">
        <f ca="1">parkhaus_sim_log[[#This Row],[Timestamp]]*1</f>
        <v>50</v>
      </c>
      <c r="B52" s="2">
        <v>76</v>
      </c>
      <c r="C52" s="2">
        <f ca="1">parkhaus_sim_log[[#This Row],[Cars waiting]]*1</f>
        <v>0</v>
      </c>
      <c r="D52">
        <f ca="1">1*parkhaus_sim_log[[#This Row],[Max wait time]]</f>
        <v>0</v>
      </c>
      <c r="E52" s="2">
        <v>0</v>
      </c>
      <c r="F52" s="2">
        <v>28.88</v>
      </c>
    </row>
    <row r="53" spans="1:6" x14ac:dyDescent="0.45">
      <c r="A53" s="3">
        <f ca="1">parkhaus_sim_log[[#This Row],[Timestamp]]*1</f>
        <v>51</v>
      </c>
      <c r="B53" s="2">
        <v>74</v>
      </c>
      <c r="C53" s="2">
        <f ca="1">parkhaus_sim_log[[#This Row],[Cars waiting]]*1</f>
        <v>0</v>
      </c>
      <c r="D53">
        <f ca="1">1*parkhaus_sim_log[[#This Row],[Max wait time]]</f>
        <v>0</v>
      </c>
      <c r="E53" s="2">
        <v>0</v>
      </c>
      <c r="F53" s="2">
        <v>27.38</v>
      </c>
    </row>
    <row r="54" spans="1:6" x14ac:dyDescent="0.45">
      <c r="A54" s="3">
        <f ca="1">parkhaus_sim_log[[#This Row],[Timestamp]]*1</f>
        <v>52</v>
      </c>
      <c r="B54" s="2">
        <v>76</v>
      </c>
      <c r="C54" s="2">
        <f ca="1">parkhaus_sim_log[[#This Row],[Cars waiting]]*1</f>
        <v>0</v>
      </c>
      <c r="D54">
        <f ca="1">1*parkhaus_sim_log[[#This Row],[Max wait time]]</f>
        <v>0</v>
      </c>
      <c r="E54" s="2">
        <v>0</v>
      </c>
      <c r="F54" s="2">
        <v>28.88</v>
      </c>
    </row>
    <row r="55" spans="1:6" x14ac:dyDescent="0.45">
      <c r="A55" s="3">
        <f ca="1">parkhaus_sim_log[[#This Row],[Timestamp]]*1</f>
        <v>53</v>
      </c>
      <c r="B55" s="2">
        <v>76</v>
      </c>
      <c r="C55" s="2">
        <f ca="1">parkhaus_sim_log[[#This Row],[Cars waiting]]*1</f>
        <v>0</v>
      </c>
      <c r="D55">
        <f ca="1">1*parkhaus_sim_log[[#This Row],[Max wait time]]</f>
        <v>0</v>
      </c>
      <c r="E55" s="2">
        <v>0</v>
      </c>
      <c r="F55" s="2">
        <v>28.88</v>
      </c>
    </row>
    <row r="56" spans="1:6" x14ac:dyDescent="0.45">
      <c r="A56" s="3">
        <f ca="1">parkhaus_sim_log[[#This Row],[Timestamp]]*1</f>
        <v>54</v>
      </c>
      <c r="B56" s="2">
        <v>78</v>
      </c>
      <c r="C56" s="2">
        <f ca="1">parkhaus_sim_log[[#This Row],[Cars waiting]]*1</f>
        <v>0</v>
      </c>
      <c r="D56">
        <f ca="1">1*parkhaus_sim_log[[#This Row],[Max wait time]]</f>
        <v>0</v>
      </c>
      <c r="E56" s="2">
        <v>0</v>
      </c>
      <c r="F56" s="2">
        <v>30.42</v>
      </c>
    </row>
    <row r="57" spans="1:6" x14ac:dyDescent="0.45">
      <c r="A57" s="3">
        <f ca="1">parkhaus_sim_log[[#This Row],[Timestamp]]*1</f>
        <v>55</v>
      </c>
      <c r="B57" s="2">
        <v>76</v>
      </c>
      <c r="C57" s="2">
        <f ca="1">parkhaus_sim_log[[#This Row],[Cars waiting]]*1</f>
        <v>0</v>
      </c>
      <c r="D57">
        <f ca="1">1*parkhaus_sim_log[[#This Row],[Max wait time]]</f>
        <v>0</v>
      </c>
      <c r="E57" s="2">
        <v>0</v>
      </c>
      <c r="F57" s="2">
        <v>28.88</v>
      </c>
    </row>
    <row r="58" spans="1:6" x14ac:dyDescent="0.45">
      <c r="A58" s="3">
        <f ca="1">parkhaus_sim_log[[#This Row],[Timestamp]]*1</f>
        <v>56</v>
      </c>
      <c r="B58" s="2">
        <v>78</v>
      </c>
      <c r="C58" s="2">
        <f ca="1">parkhaus_sim_log[[#This Row],[Cars waiting]]*1</f>
        <v>0</v>
      </c>
      <c r="D58">
        <f ca="1">1*parkhaus_sim_log[[#This Row],[Max wait time]]</f>
        <v>0</v>
      </c>
      <c r="E58" s="2">
        <v>0</v>
      </c>
      <c r="F58" s="2">
        <v>30.42</v>
      </c>
    </row>
    <row r="59" spans="1:6" x14ac:dyDescent="0.45">
      <c r="A59" s="3">
        <f ca="1">parkhaus_sim_log[[#This Row],[Timestamp]]*1</f>
        <v>57</v>
      </c>
      <c r="B59" s="2">
        <v>80</v>
      </c>
      <c r="C59" s="2">
        <f ca="1">parkhaus_sim_log[[#This Row],[Cars waiting]]*1</f>
        <v>0</v>
      </c>
      <c r="D59">
        <f ca="1">1*parkhaus_sim_log[[#This Row],[Max wait time]]</f>
        <v>0</v>
      </c>
      <c r="E59" s="2">
        <v>0</v>
      </c>
      <c r="F59" s="2">
        <v>32</v>
      </c>
    </row>
    <row r="60" spans="1:6" x14ac:dyDescent="0.45">
      <c r="A60" s="3">
        <f ca="1">parkhaus_sim_log[[#This Row],[Timestamp]]*1</f>
        <v>58</v>
      </c>
      <c r="B60" s="2">
        <v>82</v>
      </c>
      <c r="C60" s="2">
        <f ca="1">parkhaus_sim_log[[#This Row],[Cars waiting]]*1</f>
        <v>0</v>
      </c>
      <c r="D60">
        <f ca="1">1*parkhaus_sim_log[[#This Row],[Max wait time]]</f>
        <v>0</v>
      </c>
      <c r="E60" s="2">
        <v>0</v>
      </c>
      <c r="F60" s="2">
        <v>33.619999999999997</v>
      </c>
    </row>
    <row r="61" spans="1:6" x14ac:dyDescent="0.45">
      <c r="A61" s="3">
        <f ca="1">parkhaus_sim_log[[#This Row],[Timestamp]]*1</f>
        <v>59</v>
      </c>
      <c r="B61" s="2">
        <v>84</v>
      </c>
      <c r="C61" s="2">
        <f ca="1">parkhaus_sim_log[[#This Row],[Cars waiting]]*1</f>
        <v>0</v>
      </c>
      <c r="D61">
        <f ca="1">1*parkhaus_sim_log[[#This Row],[Max wait time]]</f>
        <v>0</v>
      </c>
      <c r="E61" s="2">
        <v>0</v>
      </c>
      <c r="F61" s="2">
        <v>35.28</v>
      </c>
    </row>
    <row r="62" spans="1:6" x14ac:dyDescent="0.45">
      <c r="A62" s="3">
        <f ca="1">parkhaus_sim_log[[#This Row],[Timestamp]]*1</f>
        <v>60</v>
      </c>
      <c r="B62" s="2">
        <v>84</v>
      </c>
      <c r="C62" s="2">
        <f ca="1">parkhaus_sim_log[[#This Row],[Cars waiting]]*1</f>
        <v>0</v>
      </c>
      <c r="D62">
        <f ca="1">1*parkhaus_sim_log[[#This Row],[Max wait time]]</f>
        <v>0</v>
      </c>
      <c r="E62" s="2">
        <v>0</v>
      </c>
      <c r="F62" s="2">
        <v>35.28</v>
      </c>
    </row>
    <row r="63" spans="1:6" x14ac:dyDescent="0.45">
      <c r="A63" s="3">
        <f ca="1">parkhaus_sim_log[[#This Row],[Timestamp]]*1</f>
        <v>61</v>
      </c>
      <c r="B63" s="2">
        <v>86</v>
      </c>
      <c r="C63" s="2">
        <f ca="1">parkhaus_sim_log[[#This Row],[Cars waiting]]*1</f>
        <v>0</v>
      </c>
      <c r="D63">
        <f ca="1">1*parkhaus_sim_log[[#This Row],[Max wait time]]</f>
        <v>0</v>
      </c>
      <c r="E63" s="2">
        <v>0</v>
      </c>
      <c r="F63" s="2">
        <v>36.979999999999997</v>
      </c>
    </row>
    <row r="64" spans="1:6" x14ac:dyDescent="0.45">
      <c r="A64" s="3">
        <f ca="1">parkhaus_sim_log[[#This Row],[Timestamp]]*1</f>
        <v>62</v>
      </c>
      <c r="B64" s="2">
        <v>86</v>
      </c>
      <c r="C64" s="2">
        <f ca="1">parkhaus_sim_log[[#This Row],[Cars waiting]]*1</f>
        <v>0</v>
      </c>
      <c r="D64">
        <f ca="1">1*parkhaus_sim_log[[#This Row],[Max wait time]]</f>
        <v>0</v>
      </c>
      <c r="E64" s="2">
        <v>0</v>
      </c>
      <c r="F64" s="2">
        <v>36.979999999999997</v>
      </c>
    </row>
    <row r="65" spans="1:6" x14ac:dyDescent="0.45">
      <c r="A65" s="3">
        <f ca="1">parkhaus_sim_log[[#This Row],[Timestamp]]*1</f>
        <v>63</v>
      </c>
      <c r="B65" s="2">
        <v>88</v>
      </c>
      <c r="C65" s="2">
        <f ca="1">parkhaus_sim_log[[#This Row],[Cars waiting]]*1</f>
        <v>0</v>
      </c>
      <c r="D65">
        <f ca="1">1*parkhaus_sim_log[[#This Row],[Max wait time]]</f>
        <v>0</v>
      </c>
      <c r="E65" s="2">
        <v>0</v>
      </c>
      <c r="F65" s="2">
        <v>38.72</v>
      </c>
    </row>
    <row r="66" spans="1:6" x14ac:dyDescent="0.45">
      <c r="A66" s="3">
        <f ca="1">parkhaus_sim_log[[#This Row],[Timestamp]]*1</f>
        <v>64</v>
      </c>
      <c r="B66" s="2">
        <v>88</v>
      </c>
      <c r="C66" s="2">
        <f ca="1">parkhaus_sim_log[[#This Row],[Cars waiting]]*1</f>
        <v>0</v>
      </c>
      <c r="D66">
        <f ca="1">1*parkhaus_sim_log[[#This Row],[Max wait time]]</f>
        <v>0</v>
      </c>
      <c r="E66" s="2">
        <v>0</v>
      </c>
      <c r="F66" s="2">
        <v>38.72</v>
      </c>
    </row>
    <row r="67" spans="1:6" x14ac:dyDescent="0.45">
      <c r="A67" s="3">
        <f ca="1">parkhaus_sim_log[[#This Row],[Timestamp]]*1</f>
        <v>65</v>
      </c>
      <c r="B67" s="2">
        <v>88</v>
      </c>
      <c r="C67" s="2">
        <f ca="1">parkhaus_sim_log[[#This Row],[Cars waiting]]*1</f>
        <v>0</v>
      </c>
      <c r="D67">
        <f ca="1">1*parkhaus_sim_log[[#This Row],[Max wait time]]</f>
        <v>0</v>
      </c>
      <c r="E67" s="2">
        <v>0</v>
      </c>
      <c r="F67" s="2">
        <v>38.72</v>
      </c>
    </row>
    <row r="68" spans="1:6" x14ac:dyDescent="0.45">
      <c r="A68" s="3">
        <f ca="1">parkhaus_sim_log[[#This Row],[Timestamp]]*1</f>
        <v>66</v>
      </c>
      <c r="B68" s="2">
        <v>84</v>
      </c>
      <c r="C68" s="2">
        <f ca="1">parkhaus_sim_log[[#This Row],[Cars waiting]]*1</f>
        <v>0</v>
      </c>
      <c r="D68">
        <f ca="1">1*parkhaus_sim_log[[#This Row],[Max wait time]]</f>
        <v>0</v>
      </c>
      <c r="E68" s="2">
        <v>0</v>
      </c>
      <c r="F68" s="2">
        <v>35.28</v>
      </c>
    </row>
    <row r="69" spans="1:6" x14ac:dyDescent="0.45">
      <c r="A69" s="3">
        <f ca="1">parkhaus_sim_log[[#This Row],[Timestamp]]*1</f>
        <v>67</v>
      </c>
      <c r="B69" s="2">
        <v>86</v>
      </c>
      <c r="C69" s="2">
        <f ca="1">parkhaus_sim_log[[#This Row],[Cars waiting]]*1</f>
        <v>0</v>
      </c>
      <c r="D69">
        <f ca="1">1*parkhaus_sim_log[[#This Row],[Max wait time]]</f>
        <v>0</v>
      </c>
      <c r="E69" s="2">
        <v>0</v>
      </c>
      <c r="F69" s="2">
        <v>36.979999999999997</v>
      </c>
    </row>
    <row r="70" spans="1:6" x14ac:dyDescent="0.45">
      <c r="A70" s="3">
        <f ca="1">parkhaus_sim_log[[#This Row],[Timestamp]]*1</f>
        <v>68</v>
      </c>
      <c r="B70" s="2">
        <v>86</v>
      </c>
      <c r="C70" s="2">
        <f ca="1">parkhaus_sim_log[[#This Row],[Cars waiting]]*1</f>
        <v>0</v>
      </c>
      <c r="D70">
        <f ca="1">1*parkhaus_sim_log[[#This Row],[Max wait time]]</f>
        <v>0</v>
      </c>
      <c r="E70" s="2">
        <v>0</v>
      </c>
      <c r="F70" s="2">
        <v>36.979999999999997</v>
      </c>
    </row>
    <row r="71" spans="1:6" x14ac:dyDescent="0.45">
      <c r="A71" s="3">
        <f ca="1">parkhaus_sim_log[[#This Row],[Timestamp]]*1</f>
        <v>69</v>
      </c>
      <c r="B71" s="2">
        <v>86</v>
      </c>
      <c r="C71" s="2">
        <f ca="1">parkhaus_sim_log[[#This Row],[Cars waiting]]*1</f>
        <v>0</v>
      </c>
      <c r="D71">
        <f ca="1">1*parkhaus_sim_log[[#This Row],[Max wait time]]</f>
        <v>0</v>
      </c>
      <c r="E71" s="2">
        <v>0</v>
      </c>
      <c r="F71" s="2">
        <v>36.979999999999997</v>
      </c>
    </row>
    <row r="72" spans="1:6" x14ac:dyDescent="0.45">
      <c r="A72" s="3">
        <f ca="1">parkhaus_sim_log[[#This Row],[Timestamp]]*1</f>
        <v>70</v>
      </c>
      <c r="B72" s="2">
        <v>82</v>
      </c>
      <c r="C72" s="2">
        <f ca="1">parkhaus_sim_log[[#This Row],[Cars waiting]]*1</f>
        <v>0</v>
      </c>
      <c r="D72">
        <f ca="1">1*parkhaus_sim_log[[#This Row],[Max wait time]]</f>
        <v>0</v>
      </c>
      <c r="E72" s="2">
        <v>0</v>
      </c>
      <c r="F72" s="2">
        <v>33.619999999999997</v>
      </c>
    </row>
    <row r="73" spans="1:6" x14ac:dyDescent="0.45">
      <c r="A73" s="3">
        <f ca="1">parkhaus_sim_log[[#This Row],[Timestamp]]*1</f>
        <v>71</v>
      </c>
      <c r="B73" s="2">
        <v>84</v>
      </c>
      <c r="C73" s="2">
        <f ca="1">parkhaus_sim_log[[#This Row],[Cars waiting]]*1</f>
        <v>0</v>
      </c>
      <c r="D73">
        <f ca="1">1*parkhaus_sim_log[[#This Row],[Max wait time]]</f>
        <v>0</v>
      </c>
      <c r="E73" s="2">
        <v>0</v>
      </c>
      <c r="F73" s="2">
        <v>35.28</v>
      </c>
    </row>
    <row r="74" spans="1:6" x14ac:dyDescent="0.45">
      <c r="A74" s="3">
        <f ca="1">parkhaus_sim_log[[#This Row],[Timestamp]]*1</f>
        <v>72</v>
      </c>
      <c r="B74" s="2">
        <v>84</v>
      </c>
      <c r="C74" s="2">
        <f ca="1">parkhaus_sim_log[[#This Row],[Cars waiting]]*1</f>
        <v>0</v>
      </c>
      <c r="D74">
        <f ca="1">1*parkhaus_sim_log[[#This Row],[Max wait time]]</f>
        <v>0</v>
      </c>
      <c r="E74" s="2">
        <v>0</v>
      </c>
      <c r="F74" s="2">
        <v>35.28</v>
      </c>
    </row>
    <row r="75" spans="1:6" x14ac:dyDescent="0.45">
      <c r="A75" s="3">
        <f ca="1">parkhaus_sim_log[[#This Row],[Timestamp]]*1</f>
        <v>73</v>
      </c>
      <c r="B75" s="2">
        <v>86</v>
      </c>
      <c r="C75" s="2">
        <f ca="1">parkhaus_sim_log[[#This Row],[Cars waiting]]*1</f>
        <v>0</v>
      </c>
      <c r="D75">
        <f ca="1">1*parkhaus_sim_log[[#This Row],[Max wait time]]</f>
        <v>0</v>
      </c>
      <c r="E75" s="2">
        <v>0</v>
      </c>
      <c r="F75" s="2">
        <v>36.979999999999997</v>
      </c>
    </row>
    <row r="76" spans="1:6" x14ac:dyDescent="0.45">
      <c r="A76" s="3">
        <f ca="1">parkhaus_sim_log[[#This Row],[Timestamp]]*1</f>
        <v>74</v>
      </c>
      <c r="B76" s="2">
        <v>86</v>
      </c>
      <c r="C76" s="2">
        <f ca="1">parkhaus_sim_log[[#This Row],[Cars waiting]]*1</f>
        <v>0</v>
      </c>
      <c r="D76">
        <f ca="1">1*parkhaus_sim_log[[#This Row],[Max wait time]]</f>
        <v>0</v>
      </c>
      <c r="E76" s="2">
        <v>0</v>
      </c>
      <c r="F76" s="2">
        <v>36.979999999999997</v>
      </c>
    </row>
    <row r="77" spans="1:6" x14ac:dyDescent="0.45">
      <c r="A77" s="3">
        <f ca="1">parkhaus_sim_log[[#This Row],[Timestamp]]*1</f>
        <v>75</v>
      </c>
      <c r="B77" s="2">
        <v>88</v>
      </c>
      <c r="C77" s="2">
        <f ca="1">parkhaus_sim_log[[#This Row],[Cars waiting]]*1</f>
        <v>0</v>
      </c>
      <c r="D77">
        <f ca="1">1*parkhaus_sim_log[[#This Row],[Max wait time]]</f>
        <v>0</v>
      </c>
      <c r="E77" s="2">
        <v>0</v>
      </c>
      <c r="F77" s="2">
        <v>38.72</v>
      </c>
    </row>
    <row r="78" spans="1:6" x14ac:dyDescent="0.45">
      <c r="A78" s="3">
        <f ca="1">parkhaus_sim_log[[#This Row],[Timestamp]]*1</f>
        <v>76</v>
      </c>
      <c r="B78" s="2">
        <v>88</v>
      </c>
      <c r="C78" s="2">
        <f ca="1">parkhaus_sim_log[[#This Row],[Cars waiting]]*1</f>
        <v>0</v>
      </c>
      <c r="D78">
        <f ca="1">1*parkhaus_sim_log[[#This Row],[Max wait time]]</f>
        <v>0</v>
      </c>
      <c r="E78" s="2">
        <v>0</v>
      </c>
      <c r="F78" s="2">
        <v>38.72</v>
      </c>
    </row>
    <row r="79" spans="1:6" x14ac:dyDescent="0.45">
      <c r="A79" s="3">
        <f ca="1">parkhaus_sim_log[[#This Row],[Timestamp]]*1</f>
        <v>77</v>
      </c>
      <c r="B79" s="2">
        <v>90</v>
      </c>
      <c r="C79" s="2">
        <f ca="1">parkhaus_sim_log[[#This Row],[Cars waiting]]*1</f>
        <v>0</v>
      </c>
      <c r="D79">
        <f ca="1">1*parkhaus_sim_log[[#This Row],[Max wait time]]</f>
        <v>0</v>
      </c>
      <c r="E79" s="2">
        <v>0</v>
      </c>
      <c r="F79" s="2">
        <v>40.5</v>
      </c>
    </row>
    <row r="80" spans="1:6" x14ac:dyDescent="0.45">
      <c r="A80" s="3">
        <f ca="1">parkhaus_sim_log[[#This Row],[Timestamp]]*1</f>
        <v>78</v>
      </c>
      <c r="B80" s="2">
        <v>92</v>
      </c>
      <c r="C80" s="2">
        <f ca="1">parkhaus_sim_log[[#This Row],[Cars waiting]]*1</f>
        <v>0</v>
      </c>
      <c r="D80">
        <f ca="1">1*parkhaus_sim_log[[#This Row],[Max wait time]]</f>
        <v>0</v>
      </c>
      <c r="E80" s="2">
        <v>0</v>
      </c>
      <c r="F80" s="2">
        <v>42.32</v>
      </c>
    </row>
    <row r="81" spans="1:6" x14ac:dyDescent="0.45">
      <c r="A81" s="3">
        <f ca="1">parkhaus_sim_log[[#This Row],[Timestamp]]*1</f>
        <v>79</v>
      </c>
      <c r="B81" s="2">
        <v>94</v>
      </c>
      <c r="C81" s="2">
        <f ca="1">parkhaus_sim_log[[#This Row],[Cars waiting]]*1</f>
        <v>0</v>
      </c>
      <c r="D81">
        <f ca="1">1*parkhaus_sim_log[[#This Row],[Max wait time]]</f>
        <v>0</v>
      </c>
      <c r="E81" s="2">
        <v>0</v>
      </c>
      <c r="F81" s="2">
        <v>44.18</v>
      </c>
    </row>
    <row r="82" spans="1:6" x14ac:dyDescent="0.45">
      <c r="A82" s="3">
        <f ca="1">parkhaus_sim_log[[#This Row],[Timestamp]]*1</f>
        <v>80</v>
      </c>
      <c r="B82" s="2">
        <v>96</v>
      </c>
      <c r="C82" s="2">
        <f ca="1">parkhaus_sim_log[[#This Row],[Cars waiting]]*1</f>
        <v>0</v>
      </c>
      <c r="D82">
        <f ca="1">1*parkhaus_sim_log[[#This Row],[Max wait time]]</f>
        <v>0</v>
      </c>
      <c r="E82" s="2">
        <v>0</v>
      </c>
      <c r="F82" s="2">
        <v>46.08</v>
      </c>
    </row>
    <row r="83" spans="1:6" x14ac:dyDescent="0.45">
      <c r="A83" s="3">
        <f ca="1">parkhaus_sim_log[[#This Row],[Timestamp]]*1</f>
        <v>81</v>
      </c>
      <c r="B83" s="2">
        <v>98</v>
      </c>
      <c r="C83" s="2">
        <f ca="1">parkhaus_sim_log[[#This Row],[Cars waiting]]*1</f>
        <v>0</v>
      </c>
      <c r="D83">
        <f ca="1">1*parkhaus_sim_log[[#This Row],[Max wait time]]</f>
        <v>0</v>
      </c>
      <c r="E83" s="2">
        <v>0</v>
      </c>
      <c r="F83" s="2">
        <v>48.02</v>
      </c>
    </row>
    <row r="84" spans="1:6" x14ac:dyDescent="0.45">
      <c r="A84" s="3">
        <f ca="1">parkhaus_sim_log[[#This Row],[Timestamp]]*1</f>
        <v>82</v>
      </c>
      <c r="B84" s="2">
        <v>98</v>
      </c>
      <c r="C84" s="2">
        <f ca="1">parkhaus_sim_log[[#This Row],[Cars waiting]]*1</f>
        <v>0</v>
      </c>
      <c r="D84">
        <f ca="1">1*parkhaus_sim_log[[#This Row],[Max wait time]]</f>
        <v>0</v>
      </c>
      <c r="E84" s="2">
        <v>0</v>
      </c>
      <c r="F84" s="2">
        <v>48.02</v>
      </c>
    </row>
    <row r="85" spans="1:6" x14ac:dyDescent="0.45">
      <c r="A85" s="3">
        <f ca="1">parkhaus_sim_log[[#This Row],[Timestamp]]*1</f>
        <v>83</v>
      </c>
      <c r="B85" s="2">
        <v>94</v>
      </c>
      <c r="C85" s="2">
        <f ca="1">parkhaus_sim_log[[#This Row],[Cars waiting]]*1</f>
        <v>0</v>
      </c>
      <c r="D85">
        <f ca="1">1*parkhaus_sim_log[[#This Row],[Max wait time]]</f>
        <v>0</v>
      </c>
      <c r="E85" s="2">
        <v>0</v>
      </c>
      <c r="F85" s="2">
        <v>44.18</v>
      </c>
    </row>
    <row r="86" spans="1:6" x14ac:dyDescent="0.45">
      <c r="A86" s="3">
        <f ca="1">parkhaus_sim_log[[#This Row],[Timestamp]]*1</f>
        <v>84</v>
      </c>
      <c r="B86" s="2">
        <v>94</v>
      </c>
      <c r="C86" s="2">
        <f ca="1">parkhaus_sim_log[[#This Row],[Cars waiting]]*1</f>
        <v>0</v>
      </c>
      <c r="D86">
        <f ca="1">1*parkhaus_sim_log[[#This Row],[Max wait time]]</f>
        <v>0</v>
      </c>
      <c r="E86" s="2">
        <v>0</v>
      </c>
      <c r="F86" s="2">
        <v>44.18</v>
      </c>
    </row>
    <row r="87" spans="1:6" x14ac:dyDescent="0.45">
      <c r="A87" s="3">
        <f ca="1">parkhaus_sim_log[[#This Row],[Timestamp]]*1</f>
        <v>85</v>
      </c>
      <c r="B87" s="2">
        <v>94</v>
      </c>
      <c r="C87" s="2">
        <f ca="1">parkhaus_sim_log[[#This Row],[Cars waiting]]*1</f>
        <v>0</v>
      </c>
      <c r="D87">
        <f ca="1">1*parkhaus_sim_log[[#This Row],[Max wait time]]</f>
        <v>0</v>
      </c>
      <c r="E87" s="2">
        <v>0</v>
      </c>
      <c r="F87" s="2">
        <v>44.18</v>
      </c>
    </row>
    <row r="88" spans="1:6" x14ac:dyDescent="0.45">
      <c r="A88" s="3">
        <f ca="1">parkhaus_sim_log[[#This Row],[Timestamp]]*1</f>
        <v>86</v>
      </c>
      <c r="B88" s="2">
        <v>94</v>
      </c>
      <c r="C88" s="2">
        <f ca="1">parkhaus_sim_log[[#This Row],[Cars waiting]]*1</f>
        <v>0</v>
      </c>
      <c r="D88">
        <f ca="1">1*parkhaus_sim_log[[#This Row],[Max wait time]]</f>
        <v>0</v>
      </c>
      <c r="E88" s="2">
        <v>0</v>
      </c>
      <c r="F88" s="2">
        <v>44.18</v>
      </c>
    </row>
    <row r="89" spans="1:6" x14ac:dyDescent="0.45">
      <c r="A89" s="3">
        <f ca="1">parkhaus_sim_log[[#This Row],[Timestamp]]*1</f>
        <v>87</v>
      </c>
      <c r="B89" s="2">
        <v>90</v>
      </c>
      <c r="C89" s="2">
        <f ca="1">parkhaus_sim_log[[#This Row],[Cars waiting]]*1</f>
        <v>0</v>
      </c>
      <c r="D89">
        <f ca="1">1*parkhaus_sim_log[[#This Row],[Max wait time]]</f>
        <v>0</v>
      </c>
      <c r="E89" s="2">
        <v>0</v>
      </c>
      <c r="F89" s="2">
        <v>40.5</v>
      </c>
    </row>
    <row r="90" spans="1:6" x14ac:dyDescent="0.45">
      <c r="A90" s="3">
        <f ca="1">parkhaus_sim_log[[#This Row],[Timestamp]]*1</f>
        <v>88</v>
      </c>
      <c r="B90" s="2">
        <v>88</v>
      </c>
      <c r="C90" s="2">
        <f ca="1">parkhaus_sim_log[[#This Row],[Cars waiting]]*1</f>
        <v>0</v>
      </c>
      <c r="D90">
        <f ca="1">1*parkhaus_sim_log[[#This Row],[Max wait time]]</f>
        <v>0</v>
      </c>
      <c r="E90" s="2">
        <v>0</v>
      </c>
      <c r="F90" s="2">
        <v>38.72</v>
      </c>
    </row>
    <row r="91" spans="1:6" x14ac:dyDescent="0.45">
      <c r="A91" s="3">
        <f ca="1">parkhaus_sim_log[[#This Row],[Timestamp]]*1</f>
        <v>89</v>
      </c>
      <c r="B91" s="2">
        <v>90</v>
      </c>
      <c r="C91" s="2">
        <f ca="1">parkhaus_sim_log[[#This Row],[Cars waiting]]*1</f>
        <v>0</v>
      </c>
      <c r="D91">
        <f ca="1">1*parkhaus_sim_log[[#This Row],[Max wait time]]</f>
        <v>0</v>
      </c>
      <c r="E91" s="2">
        <v>0</v>
      </c>
      <c r="F91" s="2">
        <v>40.5</v>
      </c>
    </row>
    <row r="92" spans="1:6" x14ac:dyDescent="0.45">
      <c r="A92" s="3">
        <f ca="1">parkhaus_sim_log[[#This Row],[Timestamp]]*1</f>
        <v>90</v>
      </c>
      <c r="B92" s="2">
        <v>92</v>
      </c>
      <c r="C92" s="2">
        <f ca="1">parkhaus_sim_log[[#This Row],[Cars waiting]]*1</f>
        <v>0</v>
      </c>
      <c r="D92">
        <f ca="1">1*parkhaus_sim_log[[#This Row],[Max wait time]]</f>
        <v>0</v>
      </c>
      <c r="E92" s="2">
        <v>0</v>
      </c>
      <c r="F92" s="2">
        <v>42.32</v>
      </c>
    </row>
    <row r="93" spans="1:6" x14ac:dyDescent="0.45">
      <c r="A93" s="3">
        <f ca="1">parkhaus_sim_log[[#This Row],[Timestamp]]*1</f>
        <v>91</v>
      </c>
      <c r="B93" s="2">
        <v>90</v>
      </c>
      <c r="C93" s="2">
        <f ca="1">parkhaus_sim_log[[#This Row],[Cars waiting]]*1</f>
        <v>0</v>
      </c>
      <c r="D93">
        <f ca="1">1*parkhaus_sim_log[[#This Row],[Max wait time]]</f>
        <v>0</v>
      </c>
      <c r="E93" s="2">
        <v>0</v>
      </c>
      <c r="F93" s="2">
        <v>40.5</v>
      </c>
    </row>
    <row r="94" spans="1:6" x14ac:dyDescent="0.45">
      <c r="A94" s="3">
        <f ca="1">parkhaus_sim_log[[#This Row],[Timestamp]]*1</f>
        <v>92</v>
      </c>
      <c r="B94" s="2">
        <v>92</v>
      </c>
      <c r="C94" s="2">
        <f ca="1">parkhaus_sim_log[[#This Row],[Cars waiting]]*1</f>
        <v>0</v>
      </c>
      <c r="D94">
        <f ca="1">1*parkhaus_sim_log[[#This Row],[Max wait time]]</f>
        <v>0</v>
      </c>
      <c r="E94" s="2">
        <v>0</v>
      </c>
      <c r="F94" s="2">
        <v>42.32</v>
      </c>
    </row>
    <row r="95" spans="1:6" x14ac:dyDescent="0.45">
      <c r="A95" s="3">
        <f ca="1">parkhaus_sim_log[[#This Row],[Timestamp]]*1</f>
        <v>93</v>
      </c>
      <c r="B95" s="2">
        <v>92</v>
      </c>
      <c r="C95" s="2">
        <f ca="1">parkhaus_sim_log[[#This Row],[Cars waiting]]*1</f>
        <v>0</v>
      </c>
      <c r="D95">
        <f ca="1">1*parkhaus_sim_log[[#This Row],[Max wait time]]</f>
        <v>0</v>
      </c>
      <c r="E95" s="2">
        <v>0</v>
      </c>
      <c r="F95" s="2">
        <v>42.32</v>
      </c>
    </row>
    <row r="96" spans="1:6" x14ac:dyDescent="0.45">
      <c r="A96" s="3">
        <f ca="1">parkhaus_sim_log[[#This Row],[Timestamp]]*1</f>
        <v>94</v>
      </c>
      <c r="B96" s="2">
        <v>94</v>
      </c>
      <c r="C96" s="2">
        <f ca="1">parkhaus_sim_log[[#This Row],[Cars waiting]]*1</f>
        <v>0</v>
      </c>
      <c r="D96">
        <f ca="1">1*parkhaus_sim_log[[#This Row],[Max wait time]]</f>
        <v>0</v>
      </c>
      <c r="E96" s="2">
        <v>0</v>
      </c>
      <c r="F96" s="2">
        <v>44.18</v>
      </c>
    </row>
    <row r="97" spans="1:6" x14ac:dyDescent="0.45">
      <c r="A97" s="3">
        <f ca="1">parkhaus_sim_log[[#This Row],[Timestamp]]*1</f>
        <v>95</v>
      </c>
      <c r="B97" s="2">
        <v>94</v>
      </c>
      <c r="C97" s="2">
        <f ca="1">parkhaus_sim_log[[#This Row],[Cars waiting]]*1</f>
        <v>0</v>
      </c>
      <c r="D97">
        <f ca="1">1*parkhaus_sim_log[[#This Row],[Max wait time]]</f>
        <v>0</v>
      </c>
      <c r="E97" s="2">
        <v>0</v>
      </c>
      <c r="F97" s="2">
        <v>44.18</v>
      </c>
    </row>
    <row r="98" spans="1:6" x14ac:dyDescent="0.45">
      <c r="A98" s="3">
        <f ca="1">parkhaus_sim_log[[#This Row],[Timestamp]]*1</f>
        <v>96</v>
      </c>
      <c r="B98" s="2">
        <v>94</v>
      </c>
      <c r="C98" s="2">
        <f ca="1">parkhaus_sim_log[[#This Row],[Cars waiting]]*1</f>
        <v>0</v>
      </c>
      <c r="D98">
        <f ca="1">1*parkhaus_sim_log[[#This Row],[Max wait time]]</f>
        <v>0</v>
      </c>
      <c r="E98" s="2">
        <v>0</v>
      </c>
      <c r="F98" s="2">
        <v>44.18</v>
      </c>
    </row>
    <row r="99" spans="1:6" x14ac:dyDescent="0.45">
      <c r="A99" s="3">
        <f ca="1">parkhaus_sim_log[[#This Row],[Timestamp]]*1</f>
        <v>97</v>
      </c>
      <c r="B99" s="2">
        <v>96</v>
      </c>
      <c r="C99" s="2">
        <f ca="1">parkhaus_sim_log[[#This Row],[Cars waiting]]*1</f>
        <v>0</v>
      </c>
      <c r="D99">
        <f ca="1">1*parkhaus_sim_log[[#This Row],[Max wait time]]</f>
        <v>0</v>
      </c>
      <c r="E99" s="2">
        <v>0</v>
      </c>
      <c r="F99" s="2">
        <v>46.08</v>
      </c>
    </row>
    <row r="100" spans="1:6" x14ac:dyDescent="0.45">
      <c r="A100" s="3">
        <f ca="1">parkhaus_sim_log[[#This Row],[Timestamp]]*1</f>
        <v>98</v>
      </c>
      <c r="B100" s="2">
        <v>94</v>
      </c>
      <c r="C100" s="2">
        <f ca="1">parkhaus_sim_log[[#This Row],[Cars waiting]]*1</f>
        <v>0</v>
      </c>
      <c r="D100">
        <f ca="1">1*parkhaus_sim_log[[#This Row],[Max wait time]]</f>
        <v>0</v>
      </c>
      <c r="E100" s="2">
        <v>0</v>
      </c>
      <c r="F100" s="2">
        <v>44.18</v>
      </c>
    </row>
    <row r="101" spans="1:6" x14ac:dyDescent="0.45">
      <c r="A101" s="3">
        <f ca="1">parkhaus_sim_log[[#This Row],[Timestamp]]*1</f>
        <v>99</v>
      </c>
      <c r="B101" s="2">
        <v>94</v>
      </c>
      <c r="C101" s="2">
        <f ca="1">parkhaus_sim_log[[#This Row],[Cars waiting]]*1</f>
        <v>0</v>
      </c>
      <c r="D101">
        <f ca="1">1*parkhaus_sim_log[[#This Row],[Max wait time]]</f>
        <v>0</v>
      </c>
      <c r="E101" s="2">
        <v>0</v>
      </c>
      <c r="F101" s="2">
        <v>44.18</v>
      </c>
    </row>
    <row r="102" spans="1:6" x14ac:dyDescent="0.45">
      <c r="A102" s="3">
        <f ca="1">parkhaus_sim_log[[#This Row],[Timestamp]]*1</f>
        <v>100</v>
      </c>
      <c r="B102" s="2">
        <v>96</v>
      </c>
      <c r="C102" s="2">
        <f ca="1">parkhaus_sim_log[[#This Row],[Cars waiting]]*1</f>
        <v>0</v>
      </c>
      <c r="D102">
        <f ca="1">1*parkhaus_sim_log[[#This Row],[Max wait time]]</f>
        <v>0</v>
      </c>
      <c r="E102" s="2">
        <v>0</v>
      </c>
      <c r="F102" s="2">
        <v>46.08</v>
      </c>
    </row>
    <row r="103" spans="1:6" x14ac:dyDescent="0.45">
      <c r="A103" s="3">
        <f ca="1">parkhaus_sim_log[[#This Row],[Timestamp]]*1</f>
        <v>101</v>
      </c>
      <c r="B103" s="2">
        <v>96</v>
      </c>
      <c r="C103" s="2">
        <f ca="1">parkhaus_sim_log[[#This Row],[Cars waiting]]*1</f>
        <v>0</v>
      </c>
      <c r="D103">
        <f ca="1">1*parkhaus_sim_log[[#This Row],[Max wait time]]</f>
        <v>0</v>
      </c>
      <c r="E103" s="2">
        <v>0</v>
      </c>
      <c r="F103" s="2">
        <v>46.08</v>
      </c>
    </row>
    <row r="104" spans="1:6" x14ac:dyDescent="0.45">
      <c r="A104" s="3">
        <f ca="1">parkhaus_sim_log[[#This Row],[Timestamp]]*1</f>
        <v>102</v>
      </c>
      <c r="B104" s="2">
        <v>98</v>
      </c>
      <c r="C104" s="2">
        <f ca="1">parkhaus_sim_log[[#This Row],[Cars waiting]]*1</f>
        <v>0</v>
      </c>
      <c r="D104">
        <f ca="1">1*parkhaus_sim_log[[#This Row],[Max wait time]]</f>
        <v>0</v>
      </c>
      <c r="E104" s="2">
        <v>0</v>
      </c>
      <c r="F104" s="2">
        <v>48.02</v>
      </c>
    </row>
    <row r="105" spans="1:6" x14ac:dyDescent="0.45">
      <c r="A105" s="3">
        <f ca="1">parkhaus_sim_log[[#This Row],[Timestamp]]*1</f>
        <v>103</v>
      </c>
      <c r="B105" s="2">
        <v>100</v>
      </c>
      <c r="C105" s="2">
        <f ca="1">parkhaus_sim_log[[#This Row],[Cars waiting]]*1</f>
        <v>0</v>
      </c>
      <c r="D105">
        <f ca="1">1*parkhaus_sim_log[[#This Row],[Max wait time]]</f>
        <v>0</v>
      </c>
      <c r="E105" s="2">
        <v>0</v>
      </c>
      <c r="F105" s="2">
        <v>50</v>
      </c>
    </row>
    <row r="106" spans="1:6" x14ac:dyDescent="0.45">
      <c r="A106" s="3">
        <f ca="1">parkhaus_sim_log[[#This Row],[Timestamp]]*1</f>
        <v>104</v>
      </c>
      <c r="B106" s="2">
        <v>100</v>
      </c>
      <c r="C106" s="2">
        <f ca="1">parkhaus_sim_log[[#This Row],[Cars waiting]]*1</f>
        <v>0</v>
      </c>
      <c r="D106">
        <f ca="1">1*parkhaus_sim_log[[#This Row],[Max wait time]]</f>
        <v>0</v>
      </c>
      <c r="E106" s="2">
        <v>0</v>
      </c>
      <c r="F106" s="2">
        <v>50</v>
      </c>
    </row>
    <row r="107" spans="1:6" x14ac:dyDescent="0.45">
      <c r="A107" s="3">
        <f ca="1">parkhaus_sim_log[[#This Row],[Timestamp]]*1</f>
        <v>105</v>
      </c>
      <c r="B107" s="2">
        <v>100</v>
      </c>
      <c r="C107" s="2">
        <f ca="1">parkhaus_sim_log[[#This Row],[Cars waiting]]*1</f>
        <v>1</v>
      </c>
      <c r="D107">
        <f ca="1">1*parkhaus_sim_log[[#This Row],[Max wait time]]</f>
        <v>0</v>
      </c>
      <c r="E107" s="2">
        <v>0</v>
      </c>
      <c r="F107" s="2">
        <v>53.33</v>
      </c>
    </row>
    <row r="108" spans="1:6" x14ac:dyDescent="0.45">
      <c r="A108" s="3">
        <f ca="1">parkhaus_sim_log[[#This Row],[Timestamp]]*1</f>
        <v>106</v>
      </c>
      <c r="B108" s="2">
        <v>100</v>
      </c>
      <c r="C108" s="2">
        <f ca="1">parkhaus_sim_log[[#This Row],[Cars waiting]]*1</f>
        <v>2</v>
      </c>
      <c r="D108">
        <f ca="1">1*parkhaus_sim_log[[#This Row],[Max wait time]]</f>
        <v>1</v>
      </c>
      <c r="E108" s="2">
        <v>0.5</v>
      </c>
      <c r="F108" s="2">
        <v>57.5</v>
      </c>
    </row>
    <row r="109" spans="1:6" x14ac:dyDescent="0.45">
      <c r="A109" s="3">
        <f ca="1">parkhaus_sim_log[[#This Row],[Timestamp]]*1</f>
        <v>107</v>
      </c>
      <c r="B109" s="2">
        <v>100</v>
      </c>
      <c r="C109" s="2">
        <f ca="1">parkhaus_sim_log[[#This Row],[Cars waiting]]*1</f>
        <v>0</v>
      </c>
      <c r="D109">
        <f ca="1">1*parkhaus_sim_log[[#This Row],[Max wait time]]</f>
        <v>0</v>
      </c>
      <c r="E109" s="2">
        <v>0</v>
      </c>
      <c r="F109" s="2">
        <v>50</v>
      </c>
    </row>
    <row r="110" spans="1:6" x14ac:dyDescent="0.45">
      <c r="A110" s="3">
        <f ca="1">parkhaus_sim_log[[#This Row],[Timestamp]]*1</f>
        <v>108</v>
      </c>
      <c r="B110" s="2">
        <v>100</v>
      </c>
      <c r="C110" s="2">
        <f ca="1">parkhaus_sim_log[[#This Row],[Cars waiting]]*1</f>
        <v>0</v>
      </c>
      <c r="D110">
        <f ca="1">1*parkhaus_sim_log[[#This Row],[Max wait time]]</f>
        <v>0</v>
      </c>
      <c r="E110" s="2">
        <v>0</v>
      </c>
      <c r="F110" s="2">
        <v>50</v>
      </c>
    </row>
    <row r="111" spans="1:6" x14ac:dyDescent="0.45">
      <c r="A111" s="3">
        <f ca="1">parkhaus_sim_log[[#This Row],[Timestamp]]*1</f>
        <v>109</v>
      </c>
      <c r="B111" s="2">
        <v>100</v>
      </c>
      <c r="C111" s="2">
        <f ca="1">parkhaus_sim_log[[#This Row],[Cars waiting]]*1</f>
        <v>0</v>
      </c>
      <c r="D111">
        <f ca="1">1*parkhaus_sim_log[[#This Row],[Max wait time]]</f>
        <v>0</v>
      </c>
      <c r="E111" s="2">
        <v>0</v>
      </c>
      <c r="F111" s="2">
        <v>50</v>
      </c>
    </row>
    <row r="112" spans="1:6" x14ac:dyDescent="0.45">
      <c r="A112" s="3">
        <f ca="1">parkhaus_sim_log[[#This Row],[Timestamp]]*1</f>
        <v>110</v>
      </c>
      <c r="B112" s="2">
        <v>98</v>
      </c>
      <c r="C112" s="2">
        <f ca="1">parkhaus_sim_log[[#This Row],[Cars waiting]]*1</f>
        <v>0</v>
      </c>
      <c r="D112">
        <f ca="1">1*parkhaus_sim_log[[#This Row],[Max wait time]]</f>
        <v>0</v>
      </c>
      <c r="E112" s="2">
        <v>0</v>
      </c>
      <c r="F112" s="2">
        <v>48.02</v>
      </c>
    </row>
    <row r="113" spans="1:6" x14ac:dyDescent="0.45">
      <c r="A113" s="3">
        <f ca="1">parkhaus_sim_log[[#This Row],[Timestamp]]*1</f>
        <v>111</v>
      </c>
      <c r="B113" s="2">
        <v>100</v>
      </c>
      <c r="C113" s="2">
        <f ca="1">parkhaus_sim_log[[#This Row],[Cars waiting]]*1</f>
        <v>0</v>
      </c>
      <c r="D113">
        <f ca="1">1*parkhaus_sim_log[[#This Row],[Max wait time]]</f>
        <v>0</v>
      </c>
      <c r="E113" s="2">
        <v>0</v>
      </c>
      <c r="F113" s="2">
        <v>50</v>
      </c>
    </row>
    <row r="114" spans="1:6" x14ac:dyDescent="0.45">
      <c r="A114" s="3">
        <f ca="1">parkhaus_sim_log[[#This Row],[Timestamp]]*1</f>
        <v>112</v>
      </c>
      <c r="B114" s="2">
        <v>100</v>
      </c>
      <c r="C114" s="2">
        <f ca="1">parkhaus_sim_log[[#This Row],[Cars waiting]]*1</f>
        <v>1</v>
      </c>
      <c r="D114">
        <f ca="1">1*parkhaus_sim_log[[#This Row],[Max wait time]]</f>
        <v>0</v>
      </c>
      <c r="E114" s="2">
        <v>0</v>
      </c>
      <c r="F114" s="2">
        <v>53.33</v>
      </c>
    </row>
    <row r="115" spans="1:6" x14ac:dyDescent="0.45">
      <c r="A115" s="3">
        <f ca="1">parkhaus_sim_log[[#This Row],[Timestamp]]*1</f>
        <v>113</v>
      </c>
      <c r="B115" s="2">
        <v>100</v>
      </c>
      <c r="C115" s="2">
        <f ca="1">parkhaus_sim_log[[#This Row],[Cars waiting]]*1</f>
        <v>2</v>
      </c>
      <c r="D115">
        <f ca="1">1*parkhaus_sim_log[[#This Row],[Max wait time]]</f>
        <v>1</v>
      </c>
      <c r="E115" s="2">
        <v>0.5</v>
      </c>
      <c r="F115" s="2">
        <v>57.5</v>
      </c>
    </row>
    <row r="116" spans="1:6" x14ac:dyDescent="0.45">
      <c r="A116" s="3">
        <f ca="1">parkhaus_sim_log[[#This Row],[Timestamp]]*1</f>
        <v>114</v>
      </c>
      <c r="B116" s="2">
        <v>100</v>
      </c>
      <c r="C116" s="2">
        <f ca="1">parkhaus_sim_log[[#This Row],[Cars waiting]]*1</f>
        <v>1</v>
      </c>
      <c r="D116">
        <f ca="1">1*parkhaus_sim_log[[#This Row],[Max wait time]]</f>
        <v>0</v>
      </c>
      <c r="E116" s="2">
        <v>0</v>
      </c>
      <c r="F116" s="2">
        <v>53.33</v>
      </c>
    </row>
    <row r="117" spans="1:6" x14ac:dyDescent="0.45">
      <c r="A117" s="3">
        <f ca="1">parkhaus_sim_log[[#This Row],[Timestamp]]*1</f>
        <v>115</v>
      </c>
      <c r="B117" s="2">
        <v>100</v>
      </c>
      <c r="C117" s="2">
        <f ca="1">parkhaus_sim_log[[#This Row],[Cars waiting]]*1</f>
        <v>2</v>
      </c>
      <c r="D117">
        <f ca="1">1*parkhaus_sim_log[[#This Row],[Max wait time]]</f>
        <v>1</v>
      </c>
      <c r="E117" s="2">
        <v>0.5</v>
      </c>
      <c r="F117" s="2">
        <v>57.5</v>
      </c>
    </row>
    <row r="118" spans="1:6" x14ac:dyDescent="0.45">
      <c r="A118" s="3">
        <f ca="1">parkhaus_sim_log[[#This Row],[Timestamp]]*1</f>
        <v>116</v>
      </c>
      <c r="B118" s="2">
        <v>100</v>
      </c>
      <c r="C118" s="2">
        <f ca="1">parkhaus_sim_log[[#This Row],[Cars waiting]]*1</f>
        <v>1</v>
      </c>
      <c r="D118">
        <f ca="1">1*parkhaus_sim_log[[#This Row],[Max wait time]]</f>
        <v>0</v>
      </c>
      <c r="E118" s="2">
        <v>0</v>
      </c>
      <c r="F118" s="2">
        <v>53.33</v>
      </c>
    </row>
    <row r="119" spans="1:6" x14ac:dyDescent="0.45">
      <c r="A119" s="3">
        <f ca="1">parkhaus_sim_log[[#This Row],[Timestamp]]*1</f>
        <v>117</v>
      </c>
      <c r="B119" s="2">
        <v>98</v>
      </c>
      <c r="C119" s="2">
        <f ca="1">parkhaus_sim_log[[#This Row],[Cars waiting]]*1</f>
        <v>0</v>
      </c>
      <c r="D119">
        <f ca="1">1*parkhaus_sim_log[[#This Row],[Max wait time]]</f>
        <v>0</v>
      </c>
      <c r="E119" s="2">
        <v>0</v>
      </c>
      <c r="F119" s="2">
        <v>48.02</v>
      </c>
    </row>
    <row r="120" spans="1:6" x14ac:dyDescent="0.45">
      <c r="A120" s="3">
        <f ca="1">parkhaus_sim_log[[#This Row],[Timestamp]]*1</f>
        <v>118</v>
      </c>
      <c r="B120" s="2">
        <v>98</v>
      </c>
      <c r="C120" s="2">
        <f ca="1">parkhaus_sim_log[[#This Row],[Cars waiting]]*1</f>
        <v>0</v>
      </c>
      <c r="D120">
        <f ca="1">1*parkhaus_sim_log[[#This Row],[Max wait time]]</f>
        <v>0</v>
      </c>
      <c r="E120" s="2">
        <v>0</v>
      </c>
      <c r="F120" s="2">
        <v>48.02</v>
      </c>
    </row>
    <row r="121" spans="1:6" x14ac:dyDescent="0.45">
      <c r="A121" s="3">
        <f ca="1">parkhaus_sim_log[[#This Row],[Timestamp]]*1</f>
        <v>119</v>
      </c>
      <c r="B121" s="2">
        <v>96</v>
      </c>
      <c r="C121" s="2">
        <f ca="1">parkhaus_sim_log[[#This Row],[Cars waiting]]*1</f>
        <v>0</v>
      </c>
      <c r="D121">
        <f ca="1">1*parkhaus_sim_log[[#This Row],[Max wait time]]</f>
        <v>0</v>
      </c>
      <c r="E121" s="2">
        <v>0</v>
      </c>
      <c r="F121" s="2">
        <v>46.08</v>
      </c>
    </row>
    <row r="122" spans="1:6" x14ac:dyDescent="0.45">
      <c r="A122" s="3">
        <f ca="1">parkhaus_sim_log[[#This Row],[Timestamp]]*1</f>
        <v>120</v>
      </c>
      <c r="B122" s="2">
        <v>96</v>
      </c>
      <c r="C122" s="2">
        <f ca="1">parkhaus_sim_log[[#This Row],[Cars waiting]]*1</f>
        <v>0</v>
      </c>
      <c r="D122">
        <f ca="1">1*parkhaus_sim_log[[#This Row],[Max wait time]]</f>
        <v>0</v>
      </c>
      <c r="E122" s="2">
        <v>0</v>
      </c>
      <c r="F122" s="2">
        <v>46.08</v>
      </c>
    </row>
    <row r="123" spans="1:6" x14ac:dyDescent="0.45">
      <c r="A123" s="3">
        <f ca="1">parkhaus_sim_log[[#This Row],[Timestamp]]*1</f>
        <v>121</v>
      </c>
      <c r="B123" s="2">
        <v>98</v>
      </c>
      <c r="C123" s="2">
        <f ca="1">parkhaus_sim_log[[#This Row],[Cars waiting]]*1</f>
        <v>0</v>
      </c>
      <c r="D123">
        <f ca="1">1*parkhaus_sim_log[[#This Row],[Max wait time]]</f>
        <v>0</v>
      </c>
      <c r="E123" s="2">
        <v>0</v>
      </c>
      <c r="F123" s="2">
        <v>48.02</v>
      </c>
    </row>
    <row r="124" spans="1:6" x14ac:dyDescent="0.45">
      <c r="A124" s="3">
        <f ca="1">parkhaus_sim_log[[#This Row],[Timestamp]]*1</f>
        <v>122</v>
      </c>
      <c r="B124" s="2">
        <v>96</v>
      </c>
      <c r="C124" s="2">
        <f ca="1">parkhaus_sim_log[[#This Row],[Cars waiting]]*1</f>
        <v>0</v>
      </c>
      <c r="D124">
        <f ca="1">1*parkhaus_sim_log[[#This Row],[Max wait time]]</f>
        <v>0</v>
      </c>
      <c r="E124" s="2">
        <v>0</v>
      </c>
      <c r="F124" s="2">
        <v>46.08</v>
      </c>
    </row>
    <row r="125" spans="1:6" x14ac:dyDescent="0.45">
      <c r="A125" s="3">
        <f ca="1">parkhaus_sim_log[[#This Row],[Timestamp]]*1</f>
        <v>123</v>
      </c>
      <c r="B125" s="2">
        <v>98</v>
      </c>
      <c r="C125" s="2">
        <f ca="1">parkhaus_sim_log[[#This Row],[Cars waiting]]*1</f>
        <v>0</v>
      </c>
      <c r="D125">
        <f ca="1">1*parkhaus_sim_log[[#This Row],[Max wait time]]</f>
        <v>0</v>
      </c>
      <c r="E125" s="2">
        <v>0</v>
      </c>
      <c r="F125" s="2">
        <v>48.02</v>
      </c>
    </row>
    <row r="126" spans="1:6" x14ac:dyDescent="0.45">
      <c r="A126" s="3">
        <f ca="1">parkhaus_sim_log[[#This Row],[Timestamp]]*1</f>
        <v>124</v>
      </c>
      <c r="B126" s="2">
        <v>100</v>
      </c>
      <c r="C126" s="2">
        <f ca="1">parkhaus_sim_log[[#This Row],[Cars waiting]]*1</f>
        <v>0</v>
      </c>
      <c r="D126">
        <f ca="1">1*parkhaus_sim_log[[#This Row],[Max wait time]]</f>
        <v>0</v>
      </c>
      <c r="E126" s="2">
        <v>0</v>
      </c>
      <c r="F126" s="2">
        <v>50</v>
      </c>
    </row>
    <row r="127" spans="1:6" x14ac:dyDescent="0.45">
      <c r="A127" s="3">
        <f ca="1">parkhaus_sim_log[[#This Row],[Timestamp]]*1</f>
        <v>125</v>
      </c>
      <c r="B127" s="2">
        <v>98</v>
      </c>
      <c r="C127" s="2">
        <f ca="1">parkhaus_sim_log[[#This Row],[Cars waiting]]*1</f>
        <v>0</v>
      </c>
      <c r="D127">
        <f ca="1">1*parkhaus_sim_log[[#This Row],[Max wait time]]</f>
        <v>0</v>
      </c>
      <c r="E127" s="2">
        <v>0</v>
      </c>
      <c r="F127" s="2">
        <v>48.02</v>
      </c>
    </row>
    <row r="128" spans="1:6" x14ac:dyDescent="0.45">
      <c r="A128" s="3">
        <f ca="1">parkhaus_sim_log[[#This Row],[Timestamp]]*1</f>
        <v>126</v>
      </c>
      <c r="B128" s="2">
        <v>98</v>
      </c>
      <c r="C128" s="2">
        <f ca="1">parkhaus_sim_log[[#This Row],[Cars waiting]]*1</f>
        <v>0</v>
      </c>
      <c r="D128">
        <f ca="1">1*parkhaus_sim_log[[#This Row],[Max wait time]]</f>
        <v>0</v>
      </c>
      <c r="E128" s="2">
        <v>0</v>
      </c>
      <c r="F128" s="2">
        <v>48.02</v>
      </c>
    </row>
    <row r="129" spans="1:6" x14ac:dyDescent="0.45">
      <c r="A129" s="3">
        <f ca="1">parkhaus_sim_log[[#This Row],[Timestamp]]*1</f>
        <v>127</v>
      </c>
      <c r="B129" s="2">
        <v>100</v>
      </c>
      <c r="C129" s="2">
        <f ca="1">parkhaus_sim_log[[#This Row],[Cars waiting]]*1</f>
        <v>0</v>
      </c>
      <c r="D129">
        <f ca="1">1*parkhaus_sim_log[[#This Row],[Max wait time]]</f>
        <v>0</v>
      </c>
      <c r="E129" s="2">
        <v>0</v>
      </c>
      <c r="F129" s="2">
        <v>50</v>
      </c>
    </row>
    <row r="130" spans="1:6" x14ac:dyDescent="0.45">
      <c r="A130" s="3">
        <f ca="1">parkhaus_sim_log[[#This Row],[Timestamp]]*1</f>
        <v>128</v>
      </c>
      <c r="B130" s="2">
        <v>100</v>
      </c>
      <c r="C130" s="2">
        <f ca="1">parkhaus_sim_log[[#This Row],[Cars waiting]]*1</f>
        <v>1</v>
      </c>
      <c r="D130">
        <f ca="1">1*parkhaus_sim_log[[#This Row],[Max wait time]]</f>
        <v>0</v>
      </c>
      <c r="E130" s="2">
        <v>0</v>
      </c>
      <c r="F130" s="2">
        <v>53.33</v>
      </c>
    </row>
    <row r="131" spans="1:6" x14ac:dyDescent="0.45">
      <c r="A131" s="3">
        <f ca="1">parkhaus_sim_log[[#This Row],[Timestamp]]*1</f>
        <v>129</v>
      </c>
      <c r="B131" s="2">
        <v>100</v>
      </c>
      <c r="C131" s="2">
        <f ca="1">parkhaus_sim_log[[#This Row],[Cars waiting]]*1</f>
        <v>1</v>
      </c>
      <c r="D131">
        <f ca="1">1*parkhaus_sim_log[[#This Row],[Max wait time]]</f>
        <v>0</v>
      </c>
      <c r="E131" s="2">
        <v>0</v>
      </c>
      <c r="F131" s="2">
        <v>53.33</v>
      </c>
    </row>
    <row r="132" spans="1:6" x14ac:dyDescent="0.45">
      <c r="A132" s="3">
        <f ca="1">parkhaus_sim_log[[#This Row],[Timestamp]]*1</f>
        <v>130</v>
      </c>
      <c r="B132" s="2">
        <v>100</v>
      </c>
      <c r="C132" s="2">
        <f ca="1">parkhaus_sim_log[[#This Row],[Cars waiting]]*1</f>
        <v>1</v>
      </c>
      <c r="D132">
        <f ca="1">1*parkhaus_sim_log[[#This Row],[Max wait time]]</f>
        <v>0</v>
      </c>
      <c r="E132" s="2">
        <v>0</v>
      </c>
      <c r="F132" s="2">
        <v>53.33</v>
      </c>
    </row>
    <row r="133" spans="1:6" x14ac:dyDescent="0.45">
      <c r="A133" s="3">
        <f ca="1">parkhaus_sim_log[[#This Row],[Timestamp]]*1</f>
        <v>131</v>
      </c>
      <c r="B133" s="2">
        <v>100</v>
      </c>
      <c r="C133" s="2">
        <f ca="1">parkhaus_sim_log[[#This Row],[Cars waiting]]*1</f>
        <v>0</v>
      </c>
      <c r="D133">
        <f ca="1">1*parkhaus_sim_log[[#This Row],[Max wait time]]</f>
        <v>0</v>
      </c>
      <c r="E133" s="2">
        <v>0</v>
      </c>
      <c r="F133" s="2">
        <v>50</v>
      </c>
    </row>
    <row r="134" spans="1:6" x14ac:dyDescent="0.45">
      <c r="A134" s="3">
        <f ca="1">parkhaus_sim_log[[#This Row],[Timestamp]]*1</f>
        <v>132</v>
      </c>
      <c r="B134" s="2">
        <v>96</v>
      </c>
      <c r="C134" s="2">
        <f ca="1">parkhaus_sim_log[[#This Row],[Cars waiting]]*1</f>
        <v>0</v>
      </c>
      <c r="D134">
        <f ca="1">1*parkhaus_sim_log[[#This Row],[Max wait time]]</f>
        <v>0</v>
      </c>
      <c r="E134" s="2">
        <v>0</v>
      </c>
      <c r="F134" s="2">
        <v>46.08</v>
      </c>
    </row>
    <row r="135" spans="1:6" x14ac:dyDescent="0.45">
      <c r="A135" s="3">
        <f ca="1">parkhaus_sim_log[[#This Row],[Timestamp]]*1</f>
        <v>133</v>
      </c>
      <c r="B135" s="2">
        <v>98</v>
      </c>
      <c r="C135" s="2">
        <f ca="1">parkhaus_sim_log[[#This Row],[Cars waiting]]*1</f>
        <v>0</v>
      </c>
      <c r="D135">
        <f ca="1">1*parkhaus_sim_log[[#This Row],[Max wait time]]</f>
        <v>0</v>
      </c>
      <c r="E135" s="2">
        <v>0</v>
      </c>
      <c r="F135" s="2">
        <v>48.02</v>
      </c>
    </row>
    <row r="136" spans="1:6" x14ac:dyDescent="0.45">
      <c r="A136" s="3">
        <f ca="1">parkhaus_sim_log[[#This Row],[Timestamp]]*1</f>
        <v>134</v>
      </c>
      <c r="B136" s="2">
        <v>98</v>
      </c>
      <c r="C136" s="2">
        <f ca="1">parkhaus_sim_log[[#This Row],[Cars waiting]]*1</f>
        <v>0</v>
      </c>
      <c r="D136">
        <f ca="1">1*parkhaus_sim_log[[#This Row],[Max wait time]]</f>
        <v>0</v>
      </c>
      <c r="E136" s="2">
        <v>0</v>
      </c>
      <c r="F136" s="2">
        <v>48.02</v>
      </c>
    </row>
    <row r="137" spans="1:6" x14ac:dyDescent="0.45">
      <c r="A137" s="3">
        <f ca="1">parkhaus_sim_log[[#This Row],[Timestamp]]*1</f>
        <v>135</v>
      </c>
      <c r="B137" s="2">
        <v>96</v>
      </c>
      <c r="C137" s="2">
        <f ca="1">parkhaus_sim_log[[#This Row],[Cars waiting]]*1</f>
        <v>0</v>
      </c>
      <c r="D137">
        <f ca="1">1*parkhaus_sim_log[[#This Row],[Max wait time]]</f>
        <v>0</v>
      </c>
      <c r="E137" s="2">
        <v>0</v>
      </c>
      <c r="F137" s="2">
        <v>46.08</v>
      </c>
    </row>
    <row r="138" spans="1:6" x14ac:dyDescent="0.45">
      <c r="A138" s="3">
        <f ca="1">parkhaus_sim_log[[#This Row],[Timestamp]]*1</f>
        <v>136</v>
      </c>
      <c r="B138" s="2">
        <v>98</v>
      </c>
      <c r="C138" s="2">
        <f ca="1">parkhaus_sim_log[[#This Row],[Cars waiting]]*1</f>
        <v>0</v>
      </c>
      <c r="D138">
        <f ca="1">1*parkhaus_sim_log[[#This Row],[Max wait time]]</f>
        <v>0</v>
      </c>
      <c r="E138" s="2">
        <v>0</v>
      </c>
      <c r="F138" s="2">
        <v>48.02</v>
      </c>
    </row>
    <row r="139" spans="1:6" x14ac:dyDescent="0.45">
      <c r="A139" s="3">
        <f ca="1">parkhaus_sim_log[[#This Row],[Timestamp]]*1</f>
        <v>137</v>
      </c>
      <c r="B139" s="2">
        <v>98</v>
      </c>
      <c r="C139" s="2">
        <f ca="1">parkhaus_sim_log[[#This Row],[Cars waiting]]*1</f>
        <v>0</v>
      </c>
      <c r="D139">
        <f ca="1">1*parkhaus_sim_log[[#This Row],[Max wait time]]</f>
        <v>0</v>
      </c>
      <c r="E139" s="2">
        <v>0</v>
      </c>
      <c r="F139" s="2">
        <v>48.02</v>
      </c>
    </row>
    <row r="140" spans="1:6" x14ac:dyDescent="0.45">
      <c r="A140" s="3">
        <f ca="1">parkhaus_sim_log[[#This Row],[Timestamp]]*1</f>
        <v>138</v>
      </c>
      <c r="B140" s="2">
        <v>98</v>
      </c>
      <c r="C140" s="2">
        <f ca="1">parkhaus_sim_log[[#This Row],[Cars waiting]]*1</f>
        <v>0</v>
      </c>
      <c r="D140">
        <f ca="1">1*parkhaus_sim_log[[#This Row],[Max wait time]]</f>
        <v>0</v>
      </c>
      <c r="E140" s="2">
        <v>0</v>
      </c>
      <c r="F140" s="2">
        <v>48.02</v>
      </c>
    </row>
    <row r="141" spans="1:6" x14ac:dyDescent="0.45">
      <c r="A141" s="3">
        <f ca="1">parkhaus_sim_log[[#This Row],[Timestamp]]*1</f>
        <v>139</v>
      </c>
      <c r="B141" s="2">
        <v>100</v>
      </c>
      <c r="C141" s="2">
        <f ca="1">parkhaus_sim_log[[#This Row],[Cars waiting]]*1</f>
        <v>0</v>
      </c>
      <c r="D141">
        <f ca="1">1*parkhaus_sim_log[[#This Row],[Max wait time]]</f>
        <v>0</v>
      </c>
      <c r="E141" s="2">
        <v>0</v>
      </c>
      <c r="F141" s="2">
        <v>50</v>
      </c>
    </row>
    <row r="142" spans="1:6" x14ac:dyDescent="0.45">
      <c r="A142" s="3">
        <f ca="1">parkhaus_sim_log[[#This Row],[Timestamp]]*1</f>
        <v>140</v>
      </c>
      <c r="B142" s="2">
        <v>100</v>
      </c>
      <c r="C142" s="2">
        <f ca="1">parkhaus_sim_log[[#This Row],[Cars waiting]]*1</f>
        <v>0</v>
      </c>
      <c r="D142">
        <f ca="1">1*parkhaus_sim_log[[#This Row],[Max wait time]]</f>
        <v>0</v>
      </c>
      <c r="E142" s="2">
        <v>0</v>
      </c>
      <c r="F142" s="2">
        <v>50</v>
      </c>
    </row>
    <row r="143" spans="1:6" x14ac:dyDescent="0.45">
      <c r="A143" s="3">
        <f ca="1">parkhaus_sim_log[[#This Row],[Timestamp]]*1</f>
        <v>141</v>
      </c>
      <c r="B143" s="2">
        <v>100</v>
      </c>
      <c r="C143" s="2">
        <f ca="1">parkhaus_sim_log[[#This Row],[Cars waiting]]*1</f>
        <v>0</v>
      </c>
      <c r="D143">
        <f ca="1">1*parkhaus_sim_log[[#This Row],[Max wait time]]</f>
        <v>0</v>
      </c>
      <c r="E143" s="2">
        <v>0</v>
      </c>
      <c r="F143" s="2">
        <v>50</v>
      </c>
    </row>
    <row r="144" spans="1:6" x14ac:dyDescent="0.45">
      <c r="A144" s="3">
        <f ca="1">parkhaus_sim_log[[#This Row],[Timestamp]]*1</f>
        <v>142</v>
      </c>
      <c r="B144" s="2">
        <v>100</v>
      </c>
      <c r="C144" s="2">
        <f ca="1">parkhaus_sim_log[[#This Row],[Cars waiting]]*1</f>
        <v>0</v>
      </c>
      <c r="D144">
        <f ca="1">1*parkhaus_sim_log[[#This Row],[Max wait time]]</f>
        <v>0</v>
      </c>
      <c r="E144" s="2">
        <v>0</v>
      </c>
      <c r="F144" s="2">
        <v>50</v>
      </c>
    </row>
    <row r="145" spans="1:6" x14ac:dyDescent="0.45">
      <c r="A145" s="3">
        <f ca="1">parkhaus_sim_log[[#This Row],[Timestamp]]*1</f>
        <v>143</v>
      </c>
      <c r="B145" s="2">
        <v>100</v>
      </c>
      <c r="C145" s="2">
        <f ca="1">parkhaus_sim_log[[#This Row],[Cars waiting]]*1</f>
        <v>1</v>
      </c>
      <c r="D145">
        <f ca="1">1*parkhaus_sim_log[[#This Row],[Max wait time]]</f>
        <v>0</v>
      </c>
      <c r="E145" s="2">
        <v>0</v>
      </c>
      <c r="F145" s="2">
        <v>53.33</v>
      </c>
    </row>
    <row r="146" spans="1:6" x14ac:dyDescent="0.45">
      <c r="A146" s="3">
        <f ca="1">parkhaus_sim_log[[#This Row],[Timestamp]]*1</f>
        <v>144</v>
      </c>
      <c r="B146" s="2">
        <v>100</v>
      </c>
      <c r="C146" s="2">
        <f ca="1">parkhaus_sim_log[[#This Row],[Cars waiting]]*1</f>
        <v>2</v>
      </c>
      <c r="D146">
        <f ca="1">1*parkhaus_sim_log[[#This Row],[Max wait time]]</f>
        <v>1</v>
      </c>
      <c r="E146" s="2">
        <v>0.5</v>
      </c>
      <c r="F146" s="2">
        <v>57.5</v>
      </c>
    </row>
    <row r="147" spans="1:6" x14ac:dyDescent="0.45">
      <c r="A147" s="3">
        <f ca="1">parkhaus_sim_log[[#This Row],[Timestamp]]*1</f>
        <v>145</v>
      </c>
      <c r="B147" s="2">
        <v>100</v>
      </c>
      <c r="C147" s="2">
        <f ca="1">parkhaus_sim_log[[#This Row],[Cars waiting]]*1</f>
        <v>3</v>
      </c>
      <c r="D147">
        <f ca="1">1*parkhaus_sim_log[[#This Row],[Max wait time]]</f>
        <v>2</v>
      </c>
      <c r="E147" s="2">
        <v>1</v>
      </c>
      <c r="F147" s="2">
        <v>61.67</v>
      </c>
    </row>
    <row r="148" spans="1:6" x14ac:dyDescent="0.45">
      <c r="A148" s="3">
        <f ca="1">parkhaus_sim_log[[#This Row],[Timestamp]]*1</f>
        <v>146</v>
      </c>
      <c r="B148" s="2">
        <v>100</v>
      </c>
      <c r="C148" s="2">
        <f ca="1">parkhaus_sim_log[[#This Row],[Cars waiting]]*1</f>
        <v>3</v>
      </c>
      <c r="D148">
        <f ca="1">1*parkhaus_sim_log[[#This Row],[Max wait time]]</f>
        <v>2</v>
      </c>
      <c r="E148" s="2">
        <v>1</v>
      </c>
      <c r="F148" s="2">
        <v>61.67</v>
      </c>
    </row>
    <row r="149" spans="1:6" x14ac:dyDescent="0.45">
      <c r="A149" s="3">
        <f ca="1">parkhaus_sim_log[[#This Row],[Timestamp]]*1</f>
        <v>147</v>
      </c>
      <c r="B149" s="2">
        <v>100</v>
      </c>
      <c r="C149" s="2">
        <f ca="1">parkhaus_sim_log[[#This Row],[Cars waiting]]*1</f>
        <v>4</v>
      </c>
      <c r="D149">
        <f ca="1">1*parkhaus_sim_log[[#This Row],[Max wait time]]</f>
        <v>3</v>
      </c>
      <c r="E149" s="2">
        <v>1.5</v>
      </c>
      <c r="F149" s="2">
        <v>65.83</v>
      </c>
    </row>
    <row r="150" spans="1:6" x14ac:dyDescent="0.45">
      <c r="A150" s="3">
        <f ca="1">parkhaus_sim_log[[#This Row],[Timestamp]]*1</f>
        <v>148</v>
      </c>
      <c r="B150" s="2">
        <v>100</v>
      </c>
      <c r="C150" s="2">
        <f ca="1">parkhaus_sim_log[[#This Row],[Cars waiting]]*1</f>
        <v>5</v>
      </c>
      <c r="D150">
        <f ca="1">1*parkhaus_sim_log[[#This Row],[Max wait time]]</f>
        <v>4</v>
      </c>
      <c r="E150" s="2">
        <v>2</v>
      </c>
      <c r="F150" s="2">
        <v>70</v>
      </c>
    </row>
    <row r="151" spans="1:6" x14ac:dyDescent="0.45">
      <c r="A151" s="3">
        <f ca="1">parkhaus_sim_log[[#This Row],[Timestamp]]*1</f>
        <v>149</v>
      </c>
      <c r="B151" s="2">
        <v>100</v>
      </c>
      <c r="C151" s="2">
        <f ca="1">parkhaus_sim_log[[#This Row],[Cars waiting]]*1</f>
        <v>5</v>
      </c>
      <c r="D151">
        <f ca="1">1*parkhaus_sim_log[[#This Row],[Max wait time]]</f>
        <v>4</v>
      </c>
      <c r="E151" s="2">
        <v>2</v>
      </c>
      <c r="F151" s="2">
        <v>70</v>
      </c>
    </row>
    <row r="152" spans="1:6" x14ac:dyDescent="0.45">
      <c r="A152" s="3">
        <f ca="1">parkhaus_sim_log[[#This Row],[Timestamp]]*1</f>
        <v>150</v>
      </c>
      <c r="B152" s="2">
        <v>100</v>
      </c>
      <c r="C152" s="2">
        <f ca="1">parkhaus_sim_log[[#This Row],[Cars waiting]]*1</f>
        <v>5</v>
      </c>
      <c r="D152">
        <f ca="1">1*parkhaus_sim_log[[#This Row],[Max wait time]]</f>
        <v>4</v>
      </c>
      <c r="E152" s="2">
        <v>2</v>
      </c>
      <c r="F152" s="2">
        <v>70</v>
      </c>
    </row>
    <row r="153" spans="1:6" x14ac:dyDescent="0.45">
      <c r="A153" s="3">
        <f ca="1">parkhaus_sim_log[[#This Row],[Timestamp]]*1</f>
        <v>151</v>
      </c>
      <c r="B153" s="2">
        <v>100</v>
      </c>
      <c r="C153" s="2">
        <f ca="1">parkhaus_sim_log[[#This Row],[Cars waiting]]*1</f>
        <v>4</v>
      </c>
      <c r="D153">
        <f ca="1">1*parkhaus_sim_log[[#This Row],[Max wait time]]</f>
        <v>3</v>
      </c>
      <c r="E153" s="2">
        <v>1.5</v>
      </c>
      <c r="F153" s="2">
        <v>65.83</v>
      </c>
    </row>
    <row r="154" spans="1:6" x14ac:dyDescent="0.45">
      <c r="A154" s="3">
        <f ca="1">parkhaus_sim_log[[#This Row],[Timestamp]]*1</f>
        <v>152</v>
      </c>
      <c r="B154" s="2">
        <v>100</v>
      </c>
      <c r="C154" s="2">
        <f ca="1">parkhaus_sim_log[[#This Row],[Cars waiting]]*1</f>
        <v>3</v>
      </c>
      <c r="D154">
        <f ca="1">1*parkhaus_sim_log[[#This Row],[Max wait time]]</f>
        <v>2</v>
      </c>
      <c r="E154" s="2">
        <v>1</v>
      </c>
      <c r="F154" s="2">
        <v>61.67</v>
      </c>
    </row>
    <row r="155" spans="1:6" x14ac:dyDescent="0.45">
      <c r="A155" s="3">
        <f ca="1">parkhaus_sim_log[[#This Row],[Timestamp]]*1</f>
        <v>153</v>
      </c>
      <c r="B155" s="2">
        <v>100</v>
      </c>
      <c r="C155" s="2">
        <f ca="1">parkhaus_sim_log[[#This Row],[Cars waiting]]*1</f>
        <v>3</v>
      </c>
      <c r="D155">
        <f ca="1">1*parkhaus_sim_log[[#This Row],[Max wait time]]</f>
        <v>2</v>
      </c>
      <c r="E155" s="2">
        <v>1</v>
      </c>
      <c r="F155" s="2">
        <v>61.67</v>
      </c>
    </row>
    <row r="156" spans="1:6" x14ac:dyDescent="0.45">
      <c r="A156" s="3">
        <f ca="1">parkhaus_sim_log[[#This Row],[Timestamp]]*1</f>
        <v>154</v>
      </c>
      <c r="B156" s="2">
        <v>100</v>
      </c>
      <c r="C156" s="2">
        <f ca="1">parkhaus_sim_log[[#This Row],[Cars waiting]]*1</f>
        <v>4</v>
      </c>
      <c r="D156">
        <f ca="1">1*parkhaus_sim_log[[#This Row],[Max wait time]]</f>
        <v>3</v>
      </c>
      <c r="E156" s="2">
        <v>1.5</v>
      </c>
      <c r="F156" s="2">
        <v>65.83</v>
      </c>
    </row>
    <row r="157" spans="1:6" x14ac:dyDescent="0.45">
      <c r="A157" s="3">
        <f ca="1">parkhaus_sim_log[[#This Row],[Timestamp]]*1</f>
        <v>155</v>
      </c>
      <c r="B157" s="2">
        <v>100</v>
      </c>
      <c r="C157" s="2">
        <f ca="1">parkhaus_sim_log[[#This Row],[Cars waiting]]*1</f>
        <v>4</v>
      </c>
      <c r="D157">
        <f ca="1">1*parkhaus_sim_log[[#This Row],[Max wait time]]</f>
        <v>3</v>
      </c>
      <c r="E157" s="2">
        <v>1.5</v>
      </c>
      <c r="F157" s="2">
        <v>65.83</v>
      </c>
    </row>
    <row r="158" spans="1:6" x14ac:dyDescent="0.45">
      <c r="A158" s="3">
        <f ca="1">parkhaus_sim_log[[#This Row],[Timestamp]]*1</f>
        <v>156</v>
      </c>
      <c r="B158" s="2">
        <v>100</v>
      </c>
      <c r="C158" s="2">
        <f ca="1">parkhaus_sim_log[[#This Row],[Cars waiting]]*1</f>
        <v>5</v>
      </c>
      <c r="D158">
        <f ca="1">1*parkhaus_sim_log[[#This Row],[Max wait time]]</f>
        <v>4</v>
      </c>
      <c r="E158" s="2">
        <v>2</v>
      </c>
      <c r="F158" s="2">
        <v>70</v>
      </c>
    </row>
    <row r="159" spans="1:6" x14ac:dyDescent="0.45">
      <c r="A159" s="3">
        <f ca="1">parkhaus_sim_log[[#This Row],[Timestamp]]*1</f>
        <v>157</v>
      </c>
      <c r="B159" s="2">
        <v>100</v>
      </c>
      <c r="C159" s="2">
        <f ca="1">parkhaus_sim_log[[#This Row],[Cars waiting]]*1</f>
        <v>6</v>
      </c>
      <c r="D159">
        <f ca="1">1*parkhaus_sim_log[[#This Row],[Max wait time]]</f>
        <v>5</v>
      </c>
      <c r="E159" s="2">
        <v>2.5</v>
      </c>
      <c r="F159" s="2">
        <v>74.17</v>
      </c>
    </row>
    <row r="160" spans="1:6" x14ac:dyDescent="0.45">
      <c r="A160" s="3">
        <f ca="1">parkhaus_sim_log[[#This Row],[Timestamp]]*1</f>
        <v>158</v>
      </c>
      <c r="B160" s="2">
        <v>100</v>
      </c>
      <c r="C160" s="2">
        <f ca="1">parkhaus_sim_log[[#This Row],[Cars waiting]]*1</f>
        <v>6</v>
      </c>
      <c r="D160">
        <f ca="1">1*parkhaus_sim_log[[#This Row],[Max wait time]]</f>
        <v>5</v>
      </c>
      <c r="E160" s="2">
        <v>2.5</v>
      </c>
      <c r="F160" s="2">
        <v>74.17</v>
      </c>
    </row>
    <row r="161" spans="1:6" x14ac:dyDescent="0.45">
      <c r="A161" s="3">
        <f ca="1">parkhaus_sim_log[[#This Row],[Timestamp]]*1</f>
        <v>159</v>
      </c>
      <c r="B161" s="2">
        <v>100</v>
      </c>
      <c r="C161" s="2">
        <f ca="1">parkhaus_sim_log[[#This Row],[Cars waiting]]*1</f>
        <v>7</v>
      </c>
      <c r="D161">
        <f ca="1">1*parkhaus_sim_log[[#This Row],[Max wait time]]</f>
        <v>6</v>
      </c>
      <c r="E161" s="2">
        <v>3</v>
      </c>
      <c r="F161" s="2">
        <v>78.33</v>
      </c>
    </row>
    <row r="162" spans="1:6" x14ac:dyDescent="0.45">
      <c r="A162" s="3">
        <f ca="1">parkhaus_sim_log[[#This Row],[Timestamp]]*1</f>
        <v>160</v>
      </c>
      <c r="B162" s="2">
        <v>100</v>
      </c>
      <c r="C162" s="2">
        <f ca="1">parkhaus_sim_log[[#This Row],[Cars waiting]]*1</f>
        <v>6</v>
      </c>
      <c r="D162">
        <f ca="1">1*parkhaus_sim_log[[#This Row],[Max wait time]]</f>
        <v>5</v>
      </c>
      <c r="E162" s="2">
        <v>2.5</v>
      </c>
      <c r="F162" s="2">
        <v>74.17</v>
      </c>
    </row>
    <row r="163" spans="1:6" x14ac:dyDescent="0.45">
      <c r="A163" s="3">
        <f ca="1">parkhaus_sim_log[[#This Row],[Timestamp]]*1</f>
        <v>161</v>
      </c>
      <c r="B163" s="2">
        <v>100</v>
      </c>
      <c r="C163" s="2">
        <f ca="1">parkhaus_sim_log[[#This Row],[Cars waiting]]*1</f>
        <v>6</v>
      </c>
      <c r="D163">
        <f ca="1">1*parkhaus_sim_log[[#This Row],[Max wait time]]</f>
        <v>5</v>
      </c>
      <c r="E163" s="2">
        <v>2.5</v>
      </c>
      <c r="F163" s="2">
        <v>74.17</v>
      </c>
    </row>
    <row r="164" spans="1:6" x14ac:dyDescent="0.45">
      <c r="A164" s="3">
        <f ca="1">parkhaus_sim_log[[#This Row],[Timestamp]]*1</f>
        <v>162</v>
      </c>
      <c r="B164" s="2">
        <v>100</v>
      </c>
      <c r="C164" s="2">
        <f ca="1">parkhaus_sim_log[[#This Row],[Cars waiting]]*1</f>
        <v>6</v>
      </c>
      <c r="D164">
        <f ca="1">1*parkhaus_sim_log[[#This Row],[Max wait time]]</f>
        <v>5</v>
      </c>
      <c r="E164" s="2">
        <v>2.5</v>
      </c>
      <c r="F164" s="2">
        <v>74.17</v>
      </c>
    </row>
    <row r="165" spans="1:6" x14ac:dyDescent="0.45">
      <c r="A165" s="3">
        <f ca="1">parkhaus_sim_log[[#This Row],[Timestamp]]*1</f>
        <v>163</v>
      </c>
      <c r="B165" s="2">
        <v>100</v>
      </c>
      <c r="C165" s="2">
        <f ca="1">parkhaus_sim_log[[#This Row],[Cars waiting]]*1</f>
        <v>5</v>
      </c>
      <c r="D165">
        <f ca="1">1*parkhaus_sim_log[[#This Row],[Max wait time]]</f>
        <v>4</v>
      </c>
      <c r="E165" s="2">
        <v>2</v>
      </c>
      <c r="F165" s="2">
        <v>70</v>
      </c>
    </row>
    <row r="166" spans="1:6" x14ac:dyDescent="0.45">
      <c r="A166" s="3">
        <f ca="1">parkhaus_sim_log[[#This Row],[Timestamp]]*1</f>
        <v>164</v>
      </c>
      <c r="B166" s="2">
        <v>100</v>
      </c>
      <c r="C166" s="2">
        <f ca="1">parkhaus_sim_log[[#This Row],[Cars waiting]]*1</f>
        <v>6</v>
      </c>
      <c r="D166">
        <f ca="1">1*parkhaus_sim_log[[#This Row],[Max wait time]]</f>
        <v>5</v>
      </c>
      <c r="E166" s="2">
        <v>2.5</v>
      </c>
      <c r="F166" s="2">
        <v>74.17</v>
      </c>
    </row>
    <row r="167" spans="1:6" x14ac:dyDescent="0.45">
      <c r="A167" s="3">
        <f ca="1">parkhaus_sim_log[[#This Row],[Timestamp]]*1</f>
        <v>165</v>
      </c>
      <c r="B167" s="2">
        <v>100</v>
      </c>
      <c r="C167" s="2">
        <f ca="1">parkhaus_sim_log[[#This Row],[Cars waiting]]*1</f>
        <v>6</v>
      </c>
      <c r="D167">
        <f ca="1">1*parkhaus_sim_log[[#This Row],[Max wait time]]</f>
        <v>5</v>
      </c>
      <c r="E167" s="2">
        <v>2.5</v>
      </c>
      <c r="F167" s="2">
        <v>74.17</v>
      </c>
    </row>
    <row r="168" spans="1:6" x14ac:dyDescent="0.45">
      <c r="A168" s="3">
        <f ca="1">parkhaus_sim_log[[#This Row],[Timestamp]]*1</f>
        <v>166</v>
      </c>
      <c r="B168" s="2">
        <v>100</v>
      </c>
      <c r="C168" s="2">
        <f ca="1">parkhaus_sim_log[[#This Row],[Cars waiting]]*1</f>
        <v>6</v>
      </c>
      <c r="D168">
        <f ca="1">1*parkhaus_sim_log[[#This Row],[Max wait time]]</f>
        <v>5</v>
      </c>
      <c r="E168" s="2">
        <v>2.5</v>
      </c>
      <c r="F168" s="2">
        <v>74.17</v>
      </c>
    </row>
    <row r="169" spans="1:6" x14ac:dyDescent="0.45">
      <c r="A169" s="3">
        <f ca="1">parkhaus_sim_log[[#This Row],[Timestamp]]*1</f>
        <v>167</v>
      </c>
      <c r="B169" s="2">
        <v>100</v>
      </c>
      <c r="C169" s="2">
        <f ca="1">parkhaus_sim_log[[#This Row],[Cars waiting]]*1</f>
        <v>7</v>
      </c>
      <c r="D169">
        <f ca="1">1*parkhaus_sim_log[[#This Row],[Max wait time]]</f>
        <v>6</v>
      </c>
      <c r="E169" s="2">
        <v>3</v>
      </c>
      <c r="F169" s="2">
        <v>78.33</v>
      </c>
    </row>
    <row r="170" spans="1:6" x14ac:dyDescent="0.45">
      <c r="A170" s="3">
        <f ca="1">parkhaus_sim_log[[#This Row],[Timestamp]]*1</f>
        <v>168</v>
      </c>
      <c r="B170" s="2">
        <v>100</v>
      </c>
      <c r="C170" s="2">
        <f ca="1">parkhaus_sim_log[[#This Row],[Cars waiting]]*1</f>
        <v>8</v>
      </c>
      <c r="D170">
        <f ca="1">1*parkhaus_sim_log[[#This Row],[Max wait time]]</f>
        <v>7</v>
      </c>
      <c r="E170" s="2">
        <v>3.5</v>
      </c>
      <c r="F170" s="2">
        <v>80.83</v>
      </c>
    </row>
    <row r="171" spans="1:6" x14ac:dyDescent="0.45">
      <c r="A171" s="3">
        <f ca="1">parkhaus_sim_log[[#This Row],[Timestamp]]*1</f>
        <v>169</v>
      </c>
      <c r="B171" s="2">
        <v>100</v>
      </c>
      <c r="C171" s="2">
        <f ca="1">parkhaus_sim_log[[#This Row],[Cars waiting]]*1</f>
        <v>9</v>
      </c>
      <c r="D171">
        <f ca="1">1*parkhaus_sim_log[[#This Row],[Max wait time]]</f>
        <v>8</v>
      </c>
      <c r="E171" s="2">
        <v>4</v>
      </c>
      <c r="F171" s="2">
        <v>81.67</v>
      </c>
    </row>
    <row r="172" spans="1:6" x14ac:dyDescent="0.45">
      <c r="A172" s="3">
        <f ca="1">parkhaus_sim_log[[#This Row],[Timestamp]]*1</f>
        <v>170</v>
      </c>
      <c r="B172" s="2">
        <v>100</v>
      </c>
      <c r="C172" s="2">
        <f ca="1">parkhaus_sim_log[[#This Row],[Cars waiting]]*1</f>
        <v>8</v>
      </c>
      <c r="D172">
        <f ca="1">1*parkhaus_sim_log[[#This Row],[Max wait time]]</f>
        <v>7</v>
      </c>
      <c r="E172" s="2">
        <v>3.5</v>
      </c>
      <c r="F172" s="2">
        <v>80.83</v>
      </c>
    </row>
    <row r="173" spans="1:6" x14ac:dyDescent="0.45">
      <c r="A173" s="3">
        <f ca="1">parkhaus_sim_log[[#This Row],[Timestamp]]*1</f>
        <v>171</v>
      </c>
      <c r="B173" s="2">
        <v>100</v>
      </c>
      <c r="C173" s="2">
        <f ca="1">parkhaus_sim_log[[#This Row],[Cars waiting]]*1</f>
        <v>9</v>
      </c>
      <c r="D173">
        <f ca="1">1*parkhaus_sim_log[[#This Row],[Max wait time]]</f>
        <v>8</v>
      </c>
      <c r="E173" s="2">
        <v>4</v>
      </c>
      <c r="F173" s="2">
        <v>81.67</v>
      </c>
    </row>
    <row r="174" spans="1:6" x14ac:dyDescent="0.45">
      <c r="A174" s="3">
        <f ca="1">parkhaus_sim_log[[#This Row],[Timestamp]]*1</f>
        <v>172</v>
      </c>
      <c r="B174" s="2">
        <v>100</v>
      </c>
      <c r="C174" s="2">
        <f ca="1">parkhaus_sim_log[[#This Row],[Cars waiting]]*1</f>
        <v>10</v>
      </c>
      <c r="D174">
        <f ca="1">1*parkhaus_sim_log[[#This Row],[Max wait time]]</f>
        <v>9</v>
      </c>
      <c r="E174" s="2">
        <v>4.5</v>
      </c>
      <c r="F174" s="2">
        <v>82.5</v>
      </c>
    </row>
    <row r="175" spans="1:6" x14ac:dyDescent="0.45">
      <c r="A175" s="3">
        <f ca="1">parkhaus_sim_log[[#This Row],[Timestamp]]*1</f>
        <v>173</v>
      </c>
      <c r="B175" s="2">
        <v>100</v>
      </c>
      <c r="C175" s="2">
        <f ca="1">parkhaus_sim_log[[#This Row],[Cars waiting]]*1</f>
        <v>10</v>
      </c>
      <c r="D175">
        <f ca="1">1*parkhaus_sim_log[[#This Row],[Max wait time]]</f>
        <v>9</v>
      </c>
      <c r="E175" s="2">
        <v>4.5</v>
      </c>
      <c r="F175" s="2">
        <v>82.5</v>
      </c>
    </row>
    <row r="176" spans="1:6" x14ac:dyDescent="0.45">
      <c r="A176" s="3">
        <f ca="1">parkhaus_sim_log[[#This Row],[Timestamp]]*1</f>
        <v>174</v>
      </c>
      <c r="B176" s="2">
        <v>100</v>
      </c>
      <c r="C176" s="2">
        <f ca="1">parkhaus_sim_log[[#This Row],[Cars waiting]]*1</f>
        <v>8</v>
      </c>
      <c r="D176">
        <f ca="1">1*parkhaus_sim_log[[#This Row],[Max wait time]]</f>
        <v>7</v>
      </c>
      <c r="E176" s="2">
        <v>3.5</v>
      </c>
      <c r="F176" s="2">
        <v>80.83</v>
      </c>
    </row>
    <row r="177" spans="1:6" x14ac:dyDescent="0.45">
      <c r="A177" s="3">
        <f ca="1">parkhaus_sim_log[[#This Row],[Timestamp]]*1</f>
        <v>175</v>
      </c>
      <c r="B177" s="2">
        <v>100</v>
      </c>
      <c r="C177" s="2">
        <f ca="1">parkhaus_sim_log[[#This Row],[Cars waiting]]*1</f>
        <v>9</v>
      </c>
      <c r="D177">
        <f ca="1">1*parkhaus_sim_log[[#This Row],[Max wait time]]</f>
        <v>8</v>
      </c>
      <c r="E177" s="2">
        <v>4</v>
      </c>
      <c r="F177" s="2">
        <v>81.67</v>
      </c>
    </row>
    <row r="178" spans="1:6" x14ac:dyDescent="0.45">
      <c r="A178" s="3">
        <f ca="1">parkhaus_sim_log[[#This Row],[Timestamp]]*1</f>
        <v>176</v>
      </c>
      <c r="B178" s="2">
        <v>100</v>
      </c>
      <c r="C178" s="2">
        <f ca="1">parkhaus_sim_log[[#This Row],[Cars waiting]]*1</f>
        <v>8</v>
      </c>
      <c r="D178">
        <f ca="1">1*parkhaus_sim_log[[#This Row],[Max wait time]]</f>
        <v>7</v>
      </c>
      <c r="E178" s="2">
        <v>3.5</v>
      </c>
      <c r="F178" s="2">
        <v>80.83</v>
      </c>
    </row>
    <row r="179" spans="1:6" x14ac:dyDescent="0.45">
      <c r="A179" s="3">
        <f ca="1">parkhaus_sim_log[[#This Row],[Timestamp]]*1</f>
        <v>177</v>
      </c>
      <c r="B179" s="2">
        <v>100</v>
      </c>
      <c r="C179" s="2">
        <f ca="1">parkhaus_sim_log[[#This Row],[Cars waiting]]*1</f>
        <v>9</v>
      </c>
      <c r="D179">
        <f ca="1">1*parkhaus_sim_log[[#This Row],[Max wait time]]</f>
        <v>8</v>
      </c>
      <c r="E179" s="2">
        <v>4</v>
      </c>
      <c r="F179" s="2">
        <v>81.67</v>
      </c>
    </row>
    <row r="180" spans="1:6" x14ac:dyDescent="0.45">
      <c r="A180" s="3">
        <f ca="1">parkhaus_sim_log[[#This Row],[Timestamp]]*1</f>
        <v>178</v>
      </c>
      <c r="B180" s="2">
        <v>100</v>
      </c>
      <c r="C180" s="2">
        <f ca="1">parkhaus_sim_log[[#This Row],[Cars waiting]]*1</f>
        <v>9</v>
      </c>
      <c r="D180">
        <f ca="1">1*parkhaus_sim_log[[#This Row],[Max wait time]]</f>
        <v>8</v>
      </c>
      <c r="E180" s="2">
        <v>4</v>
      </c>
      <c r="F180" s="2">
        <v>81.67</v>
      </c>
    </row>
    <row r="181" spans="1:6" x14ac:dyDescent="0.45">
      <c r="A181" s="3">
        <f ca="1">parkhaus_sim_log[[#This Row],[Timestamp]]*1</f>
        <v>179</v>
      </c>
      <c r="B181" s="2">
        <v>100</v>
      </c>
      <c r="C181" s="2">
        <f ca="1">parkhaus_sim_log[[#This Row],[Cars waiting]]*1</f>
        <v>10</v>
      </c>
      <c r="D181">
        <f ca="1">1*parkhaus_sim_log[[#This Row],[Max wait time]]</f>
        <v>9</v>
      </c>
      <c r="E181" s="2">
        <v>4.5</v>
      </c>
      <c r="F181" s="2">
        <v>82.5</v>
      </c>
    </row>
    <row r="182" spans="1:6" x14ac:dyDescent="0.45">
      <c r="A182" s="3">
        <f ca="1">parkhaus_sim_log[[#This Row],[Timestamp]]*1</f>
        <v>180</v>
      </c>
      <c r="B182" s="2">
        <v>100</v>
      </c>
      <c r="C182" s="2">
        <f ca="1">parkhaus_sim_log[[#This Row],[Cars waiting]]*1</f>
        <v>8</v>
      </c>
      <c r="D182">
        <f ca="1">1*parkhaus_sim_log[[#This Row],[Max wait time]]</f>
        <v>7</v>
      </c>
      <c r="E182" s="2">
        <v>3.5</v>
      </c>
      <c r="F182" s="2">
        <v>80.83</v>
      </c>
    </row>
    <row r="183" spans="1:6" x14ac:dyDescent="0.45">
      <c r="A183" s="3">
        <f ca="1">parkhaus_sim_log[[#This Row],[Timestamp]]*1</f>
        <v>181</v>
      </c>
      <c r="B183" s="2">
        <v>100</v>
      </c>
      <c r="C183" s="2">
        <f ca="1">parkhaus_sim_log[[#This Row],[Cars waiting]]*1</f>
        <v>8</v>
      </c>
      <c r="D183">
        <f ca="1">1*parkhaus_sim_log[[#This Row],[Max wait time]]</f>
        <v>7</v>
      </c>
      <c r="E183" s="2">
        <v>3.5</v>
      </c>
      <c r="F183" s="2">
        <v>80.83</v>
      </c>
    </row>
    <row r="184" spans="1:6" x14ac:dyDescent="0.45">
      <c r="A184" s="3">
        <f ca="1">parkhaus_sim_log[[#This Row],[Timestamp]]*1</f>
        <v>182</v>
      </c>
      <c r="B184" s="2">
        <v>100</v>
      </c>
      <c r="C184" s="2">
        <f ca="1">parkhaus_sim_log[[#This Row],[Cars waiting]]*1</f>
        <v>8</v>
      </c>
      <c r="D184">
        <f ca="1">1*parkhaus_sim_log[[#This Row],[Max wait time]]</f>
        <v>7</v>
      </c>
      <c r="E184" s="2">
        <v>3.5</v>
      </c>
      <c r="F184" s="2">
        <v>80.83</v>
      </c>
    </row>
    <row r="185" spans="1:6" x14ac:dyDescent="0.45">
      <c r="A185" s="3">
        <f ca="1">parkhaus_sim_log[[#This Row],[Timestamp]]*1</f>
        <v>183</v>
      </c>
      <c r="B185" s="2">
        <v>100</v>
      </c>
      <c r="C185" s="2">
        <f ca="1">parkhaus_sim_log[[#This Row],[Cars waiting]]*1</f>
        <v>8</v>
      </c>
      <c r="D185">
        <f ca="1">1*parkhaus_sim_log[[#This Row],[Max wait time]]</f>
        <v>7</v>
      </c>
      <c r="E185" s="2">
        <v>3.5</v>
      </c>
      <c r="F185" s="2">
        <v>80.83</v>
      </c>
    </row>
    <row r="186" spans="1:6" x14ac:dyDescent="0.45">
      <c r="A186" s="3">
        <f ca="1">parkhaus_sim_log[[#This Row],[Timestamp]]*1</f>
        <v>184</v>
      </c>
      <c r="B186" s="2">
        <v>100</v>
      </c>
      <c r="C186" s="2">
        <f ca="1">parkhaus_sim_log[[#This Row],[Cars waiting]]*1</f>
        <v>9</v>
      </c>
      <c r="D186">
        <f ca="1">1*parkhaus_sim_log[[#This Row],[Max wait time]]</f>
        <v>8</v>
      </c>
      <c r="E186" s="2">
        <v>4</v>
      </c>
      <c r="F186" s="2">
        <v>81.67</v>
      </c>
    </row>
    <row r="187" spans="1:6" x14ac:dyDescent="0.45">
      <c r="A187" s="3">
        <f ca="1">parkhaus_sim_log[[#This Row],[Timestamp]]*1</f>
        <v>185</v>
      </c>
      <c r="B187" s="2">
        <v>100</v>
      </c>
      <c r="C187" s="2">
        <f ca="1">parkhaus_sim_log[[#This Row],[Cars waiting]]*1</f>
        <v>8</v>
      </c>
      <c r="D187">
        <f ca="1">1*parkhaus_sim_log[[#This Row],[Max wait time]]</f>
        <v>7</v>
      </c>
      <c r="E187" s="2">
        <v>3.5</v>
      </c>
      <c r="F187" s="2">
        <v>80.83</v>
      </c>
    </row>
    <row r="188" spans="1:6" x14ac:dyDescent="0.45">
      <c r="A188" s="3">
        <f ca="1">parkhaus_sim_log[[#This Row],[Timestamp]]*1</f>
        <v>186</v>
      </c>
      <c r="B188" s="2">
        <v>100</v>
      </c>
      <c r="C188" s="2">
        <f ca="1">parkhaus_sim_log[[#This Row],[Cars waiting]]*1</f>
        <v>8</v>
      </c>
      <c r="D188">
        <f ca="1">1*parkhaus_sim_log[[#This Row],[Max wait time]]</f>
        <v>7</v>
      </c>
      <c r="E188" s="2">
        <v>3.5</v>
      </c>
      <c r="F188" s="2">
        <v>80.83</v>
      </c>
    </row>
    <row r="189" spans="1:6" x14ac:dyDescent="0.45">
      <c r="A189" s="3">
        <f ca="1">parkhaus_sim_log[[#This Row],[Timestamp]]*1</f>
        <v>187</v>
      </c>
      <c r="B189" s="2">
        <v>100</v>
      </c>
      <c r="C189" s="2">
        <f ca="1">parkhaus_sim_log[[#This Row],[Cars waiting]]*1</f>
        <v>8</v>
      </c>
      <c r="D189">
        <f ca="1">1*parkhaus_sim_log[[#This Row],[Max wait time]]</f>
        <v>7</v>
      </c>
      <c r="E189" s="2">
        <v>3.5</v>
      </c>
      <c r="F189" s="2">
        <v>80.83</v>
      </c>
    </row>
    <row r="190" spans="1:6" x14ac:dyDescent="0.45">
      <c r="A190" s="3">
        <f ca="1">parkhaus_sim_log[[#This Row],[Timestamp]]*1</f>
        <v>188</v>
      </c>
      <c r="B190" s="2">
        <v>100</v>
      </c>
      <c r="C190" s="2">
        <f ca="1">parkhaus_sim_log[[#This Row],[Cars waiting]]*1</f>
        <v>8</v>
      </c>
      <c r="D190">
        <f ca="1">1*parkhaus_sim_log[[#This Row],[Max wait time]]</f>
        <v>7</v>
      </c>
      <c r="E190" s="2">
        <v>3.5</v>
      </c>
      <c r="F190" s="2">
        <v>80.83</v>
      </c>
    </row>
    <row r="191" spans="1:6" x14ac:dyDescent="0.45">
      <c r="A191" s="3">
        <f ca="1">parkhaus_sim_log[[#This Row],[Timestamp]]*1</f>
        <v>189</v>
      </c>
      <c r="B191" s="2">
        <v>100</v>
      </c>
      <c r="C191" s="2">
        <f ca="1">parkhaus_sim_log[[#This Row],[Cars waiting]]*1</f>
        <v>8</v>
      </c>
      <c r="D191">
        <f ca="1">1*parkhaus_sim_log[[#This Row],[Max wait time]]</f>
        <v>7</v>
      </c>
      <c r="E191" s="2">
        <v>3.5</v>
      </c>
      <c r="F191" s="2">
        <v>80.83</v>
      </c>
    </row>
    <row r="192" spans="1:6" x14ac:dyDescent="0.45">
      <c r="A192" s="3">
        <f ca="1">parkhaus_sim_log[[#This Row],[Timestamp]]*1</f>
        <v>190</v>
      </c>
      <c r="B192" s="2">
        <v>100</v>
      </c>
      <c r="C192" s="2">
        <f ca="1">parkhaus_sim_log[[#This Row],[Cars waiting]]*1</f>
        <v>8</v>
      </c>
      <c r="D192">
        <f ca="1">1*parkhaus_sim_log[[#This Row],[Max wait time]]</f>
        <v>7</v>
      </c>
      <c r="E192" s="2">
        <v>3.5</v>
      </c>
      <c r="F192" s="2">
        <v>80.83</v>
      </c>
    </row>
    <row r="193" spans="1:6" x14ac:dyDescent="0.45">
      <c r="A193" s="3">
        <f ca="1">parkhaus_sim_log[[#This Row],[Timestamp]]*1</f>
        <v>191</v>
      </c>
      <c r="B193" s="2">
        <v>100</v>
      </c>
      <c r="C193" s="2">
        <f ca="1">parkhaus_sim_log[[#This Row],[Cars waiting]]*1</f>
        <v>7</v>
      </c>
      <c r="D193">
        <f ca="1">1*parkhaus_sim_log[[#This Row],[Max wait time]]</f>
        <v>6</v>
      </c>
      <c r="E193" s="2">
        <v>3</v>
      </c>
      <c r="F193" s="2">
        <v>78.33</v>
      </c>
    </row>
    <row r="194" spans="1:6" x14ac:dyDescent="0.45">
      <c r="A194" s="3">
        <f ca="1">parkhaus_sim_log[[#This Row],[Timestamp]]*1</f>
        <v>192</v>
      </c>
      <c r="B194" s="2">
        <v>100</v>
      </c>
      <c r="C194" s="2">
        <f ca="1">parkhaus_sim_log[[#This Row],[Cars waiting]]*1</f>
        <v>8</v>
      </c>
      <c r="D194">
        <f ca="1">1*parkhaus_sim_log[[#This Row],[Max wait time]]</f>
        <v>7</v>
      </c>
      <c r="E194" s="2">
        <v>3.5</v>
      </c>
      <c r="F194" s="2">
        <v>80.83</v>
      </c>
    </row>
    <row r="195" spans="1:6" x14ac:dyDescent="0.45">
      <c r="A195" s="3">
        <f ca="1">parkhaus_sim_log[[#This Row],[Timestamp]]*1</f>
        <v>193</v>
      </c>
      <c r="B195" s="2">
        <v>100</v>
      </c>
      <c r="C195" s="2">
        <f ca="1">parkhaus_sim_log[[#This Row],[Cars waiting]]*1</f>
        <v>9</v>
      </c>
      <c r="D195">
        <f ca="1">1*parkhaus_sim_log[[#This Row],[Max wait time]]</f>
        <v>8</v>
      </c>
      <c r="E195" s="2">
        <v>4</v>
      </c>
      <c r="F195" s="2">
        <v>81.67</v>
      </c>
    </row>
    <row r="196" spans="1:6" x14ac:dyDescent="0.45">
      <c r="A196" s="3">
        <f ca="1">parkhaus_sim_log[[#This Row],[Timestamp]]*1</f>
        <v>194</v>
      </c>
      <c r="B196" s="2">
        <v>100</v>
      </c>
      <c r="C196" s="2">
        <f ca="1">parkhaus_sim_log[[#This Row],[Cars waiting]]*1</f>
        <v>10</v>
      </c>
      <c r="D196">
        <f ca="1">1*parkhaus_sim_log[[#This Row],[Max wait time]]</f>
        <v>9</v>
      </c>
      <c r="E196" s="2">
        <v>4.5</v>
      </c>
      <c r="F196" s="2">
        <v>82.5</v>
      </c>
    </row>
    <row r="197" spans="1:6" x14ac:dyDescent="0.45">
      <c r="A197" s="3">
        <f ca="1">parkhaus_sim_log[[#This Row],[Timestamp]]*1</f>
        <v>195</v>
      </c>
      <c r="B197" s="2">
        <v>100</v>
      </c>
      <c r="C197" s="2">
        <f ca="1">parkhaus_sim_log[[#This Row],[Cars waiting]]*1</f>
        <v>11</v>
      </c>
      <c r="D197">
        <f ca="1">1*parkhaus_sim_log[[#This Row],[Max wait time]]</f>
        <v>10</v>
      </c>
      <c r="E197" s="2">
        <v>5</v>
      </c>
      <c r="F197" s="2">
        <v>83.33</v>
      </c>
    </row>
    <row r="198" spans="1:6" x14ac:dyDescent="0.45">
      <c r="A198" s="3">
        <f ca="1">parkhaus_sim_log[[#This Row],[Timestamp]]*1</f>
        <v>196</v>
      </c>
      <c r="B198" s="2">
        <v>100</v>
      </c>
      <c r="C198" s="2">
        <f ca="1">parkhaus_sim_log[[#This Row],[Cars waiting]]*1</f>
        <v>11</v>
      </c>
      <c r="D198">
        <f ca="1">1*parkhaus_sim_log[[#This Row],[Max wait time]]</f>
        <v>10</v>
      </c>
      <c r="E198" s="2">
        <v>5</v>
      </c>
      <c r="F198" s="2">
        <v>83.33</v>
      </c>
    </row>
    <row r="199" spans="1:6" x14ac:dyDescent="0.45">
      <c r="A199" s="3">
        <f ca="1">parkhaus_sim_log[[#This Row],[Timestamp]]*1</f>
        <v>197</v>
      </c>
      <c r="B199" s="2">
        <v>100</v>
      </c>
      <c r="C199" s="2">
        <f ca="1">parkhaus_sim_log[[#This Row],[Cars waiting]]*1</f>
        <v>10</v>
      </c>
      <c r="D199">
        <f ca="1">1*parkhaus_sim_log[[#This Row],[Max wait time]]</f>
        <v>9</v>
      </c>
      <c r="E199" s="2">
        <v>4.5</v>
      </c>
      <c r="F199" s="2">
        <v>82.5</v>
      </c>
    </row>
    <row r="200" spans="1:6" x14ac:dyDescent="0.45">
      <c r="A200" s="3">
        <f ca="1">parkhaus_sim_log[[#This Row],[Timestamp]]*1</f>
        <v>198</v>
      </c>
      <c r="B200" s="2">
        <v>100</v>
      </c>
      <c r="C200" s="2">
        <f ca="1">parkhaus_sim_log[[#This Row],[Cars waiting]]*1</f>
        <v>11</v>
      </c>
      <c r="D200">
        <f ca="1">1*parkhaus_sim_log[[#This Row],[Max wait time]]</f>
        <v>10</v>
      </c>
      <c r="E200" s="2">
        <v>5</v>
      </c>
      <c r="F200" s="2">
        <v>83.33</v>
      </c>
    </row>
    <row r="201" spans="1:6" x14ac:dyDescent="0.45">
      <c r="A201" s="3">
        <f ca="1">parkhaus_sim_log[[#This Row],[Timestamp]]*1</f>
        <v>199</v>
      </c>
      <c r="B201" s="2">
        <v>100</v>
      </c>
      <c r="C201" s="2">
        <f ca="1">parkhaus_sim_log[[#This Row],[Cars waiting]]*1</f>
        <v>12</v>
      </c>
      <c r="D201">
        <f ca="1">1*parkhaus_sim_log[[#This Row],[Max wait time]]</f>
        <v>11</v>
      </c>
      <c r="E201" s="2">
        <v>5.5</v>
      </c>
      <c r="F201" s="2">
        <v>84.17</v>
      </c>
    </row>
    <row r="202" spans="1:6" x14ac:dyDescent="0.45">
      <c r="F202" s="2"/>
    </row>
  </sheetData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F366D9-3BBD-49BE-A3C5-2D9224C16D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parkhaus_sim_log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Pantoffelmann</dc:creator>
  <cp:lastModifiedBy>Tim Pantoffelmann</cp:lastModifiedBy>
  <dcterms:created xsi:type="dcterms:W3CDTF">2026-03-18T07:32:21Z</dcterms:created>
  <dcterms:modified xsi:type="dcterms:W3CDTF">2026-03-18T07:53:59Z</dcterms:modified>
</cp:coreProperties>
</file>